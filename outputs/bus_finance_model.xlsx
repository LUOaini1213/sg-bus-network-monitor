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ares" sheetId="3" state="visible" r:id="rId3"/>
    <sheet xmlns:r="http://schemas.openxmlformats.org/officeDocument/2006/relationships" name="Rides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Fund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ontracts" sheetId="9" state="visible" r:id="rId9"/>
    <sheet xmlns:r="http://schemas.openxmlformats.org/officeDocument/2006/relationships" name="Projection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Sources" sheetId="12" state="visible" r:id="rId12"/>
  </sheets>
  <definedNames>
    <definedName name="senior_trips_2019">Inputs!$B$2</definedName>
    <definedName name="bus_rides_2019">Inputs!$B$3</definedName>
    <definedName name="card_senior">Inputs!$B$4</definedName>
    <definedName name="card_pwd">Inputs!$B$5</definedName>
    <definedName name="card_student">Inputs!$B$6</definedName>
    <definedName name="card_workfare">Inputs!$B$7</definedName>
    <definedName name="card_child">Inputs!$B$8</definedName>
    <definedName name="trips_2018">Inputs!$B$9</definedName>
    <definedName name="journeys_2018">Inputs!$B$10</definedName>
    <definedName name="share_senior">Inputs!$B$12</definedName>
    <definedName name="share_student">Inputs!$B$13</definedName>
    <definedName name="share_workfare">Inputs!$B$14</definedName>
    <definedName name="share_free">Inputs!$B$15</definedName>
    <definedName name="share_adult">Inputs!$B$16</definedName>
    <definedName name="transfer_share">Inputs!$B$17</definedName>
    <definedName name="income_p20">Inputs!$B$19</definedName>
    <definedName name="lta_daily">Inputs!$B$20</definedName>
    <definedName name="fre2025_inc">Inputs!$B$21</definedName>
    <definedName name="fre2026_inc">Inputs!$B$22</definedName>
    <definedName name="old_days">Inputs!$B$23</definedName>
    <definedName name="tel_rev">Inputs!$B$24</definedName>
    <definedName name="wd_bus_km">Inputs!$B$25</definedName>
    <definedName name="commuter_rides">Inputs!$B$26</definedName>
    <definedName name="adult_pass">Inputs!$B$27</definedName>
    <definedName name="g_rides">Inputs!$B$28</definedName>
    <definedName name="g_cost">Inputs!$B$29</definedName>
    <definedName name="later_fre">Inputs!$B$30</definedName>
    <definedName name="conc_change">Inputs!$B$31</definedName>
    <definedName name="bus_share">Inputs!$B$32</definedName>
    <definedName name="rides_total">Rides!$E$41</definedName>
    <definedName name="gross_now">Revenue!$D$41</definedName>
    <definedName name="adult_gross">Revenue!$E$41</definedName>
    <definedName name="gross_dec">Revenue!$H$41</definedName>
    <definedName name="mean_adult">Revenue!$D$43</definedName>
    <definedName name="rebate">Revenue!$D$44</definedName>
    <definedName name="tfactor">Revenue!$D$45</definedName>
    <definedName name="rev_now">Revenue!$D$46</definedName>
    <definedName name="rev_dec">Revenue!$D$47</definedName>
    <definedName name="dec_change">Revenue!$D$48</definedName>
    <definedName name="dec_increase">Revenue!$D$49</definedName>
    <definedName name="fy25_fare">Fund!$B$2</definedName>
    <definedName name="fy25_fees">Fund!$E$2</definedName>
    <definedName name="fy25_opex">Fund!$F$2</definedName>
    <definedName name="rec_rides_ratio">Reconciliation!$D$2</definedName>
    <definedName name="pub_adj">Reconciliation!$C$3</definedName>
    <definedName name="rec_rev_ratio">Reconciliation!$D$3</definedName>
    <definedName name="rec_dec_ratio">Reconciliation!$D$5</definedName>
    <definedName name="implied_yield">Reconciliation!$B$7</definedName>
    <definedName name="fee_service_year">Contracts!$G$12</definedName>
    <definedName name="fee_per_bus_km">Contracts!$G$13</definedName>
    <definedName name="fre2025_full">Projection!$B$10</definedName>
    <definedName name="deficit_fy2030">Projection!$G$7</definedName>
    <definedName name="fare_fy2030">Projection!$D$7</definedName>
    <definedName name="fare_fy2026">Projection!$D$3</definedName>
    <definedName name="conc_delta">Scenarios!$B$13</definedName>
    <definedName name="flat_fare">Scenarios!$B$16</definedName>
    <definedName name="flat_more">Scenarios!$B$17</definedName>
    <definedName name="spend_median_now">Scenarios!$C$21</definedName>
    <definedName name="spend_p90_dec">Scenarios!$D$22</definedName>
    <definedName name="spend_p90_dec_income">Scenarios!$G$22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#,##0.0"/>
  </numFmts>
  <fonts count="4">
    <font>
      <name val="Calibri"/>
      <family val="2"/>
      <color theme="1"/>
      <sz val="11"/>
      <scheme val="minor"/>
    </font>
    <font>
      <b val="1"/>
    </font>
    <font/>
    <font>
      <color rgb="001F4E9E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3" fontId="3" fillId="0" borderId="0" pivotButton="0" quotePrefix="0" xfId="0"/>
    <xf numFmtId="9" fontId="3" fillId="0" borderId="0" pivotButton="0" quotePrefix="0" xfId="0"/>
    <xf numFmtId="164" fontId="0" fillId="0" borderId="0" pivotButton="0" quotePrefix="0" xfId="0"/>
    <xf numFmtId="1" fontId="3" fillId="0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Singapore bus finance and fare model (public data only)</t>
        </is>
      </c>
    </row>
    <row r="2">
      <c r="A2" s="2" t="inlineStr"/>
    </row>
    <row r="3">
      <c r="A3" s="2" t="inlineStr">
        <is>
          <t>Blue cells are inputs; every other number is a live formula. Change an input and the model recalculates.</t>
        </is>
      </c>
    </row>
    <row r="4">
      <c r="A4" s="2" t="inlineStr">
        <is>
          <t>Rides: DataMall origin-destination volumes, July and August 2026, scaled to 2026 day counts (Rides sheet).</t>
        </is>
      </c>
    </row>
    <row r="5">
      <c r="A5" s="2" t="inlineStr">
        <is>
          <t>Fares: PTC card fare tables in force from 27 Dec 2025 and approved for 26 Dec 2026 (Fares sheet).</t>
        </is>
      </c>
    </row>
    <row r="6">
      <c r="A6" s="2" t="inlineStr">
        <is>
          <t>Published figures: LTA audited Bus Contracting accounts, LTA ridership statistics, PTC fare reviews, LTA contract award releases (Sources sheet, with the quoted text).</t>
        </is>
      </c>
    </row>
    <row r="7">
      <c r="A7" s="2" t="inlineStr">
        <is>
          <t>Fare-group shares and the transfer share are derived from published counts under stated assumptions (Inputs sheet).</t>
        </is>
      </c>
    </row>
    <row r="8">
      <c r="A8" s="2" t="inlineStr">
        <is>
          <t>Monthly passes, cash fares (&lt;1% of journeys), express surcharges on mixed pairs and fare evasion are not modelled separately.</t>
        </is>
      </c>
    </row>
    <row r="9">
      <c r="A9" s="2" t="inlineStr">
        <is>
          <t>Built by src/finance_workbook.py; src/finance_model.py computes the same headline cells in Python and the test suite checks that the two agree.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10" customWidth="1" min="4" max="4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 / note</t>
        </is>
      </c>
    </row>
    <row r="2">
      <c r="A2" t="inlineStr">
        <is>
          <t>Bus rides a day on senior concession cards, 2019</t>
        </is>
      </c>
      <c r="B2" s="4" t="n">
        <v>743000</v>
      </c>
      <c r="C2" t="inlineStr">
        <is>
          <t>rides/day</t>
        </is>
      </c>
      <c r="D2" t="inlineStr">
        <is>
          <t>MOT written reply: bus trips a day on Senior Citizen Concession Cards, 743,000 in 2019</t>
        </is>
      </c>
    </row>
    <row r="3">
      <c r="A3" t="inlineStr">
        <is>
          <t>LTA average daily public bus ridership, 2019</t>
        </is>
      </c>
      <c r="B3" s="4" t="n">
        <v>4099000</v>
      </c>
      <c r="C3" t="inlineStr">
        <is>
          <t>rides/day</t>
        </is>
      </c>
      <c r="D3" t="inlineStr">
        <is>
          <t>LTA, Public Transport Ridership - Average Daily Ridership 2015-2025: bus 4,099 thousand in 2019</t>
        </is>
      </c>
    </row>
    <row r="4">
      <c r="A4" t="inlineStr">
        <is>
          <t>Share of concession cards: senior</t>
        </is>
      </c>
      <c r="B4" s="5" t="n">
        <v>0.47</v>
      </c>
      <c r="C4" t="inlineStr">
        <is>
          <t>share</t>
        </is>
      </c>
      <c r="D4" t="inlineStr">
        <is>
          <t>MOT written reply (cards valid at end June 2021): seniors 47%, students 31%, child 6%, adult monthly travel cards 3%, NSF 3%, Workfare 9%, PwD 1%</t>
        </is>
      </c>
    </row>
    <row r="5">
      <c r="A5" t="inlineStr">
        <is>
          <t>Share of concession cards: pwd</t>
        </is>
      </c>
      <c r="B5" s="5" t="n">
        <v>0.01</v>
      </c>
      <c r="C5" t="inlineStr">
        <is>
          <t>share</t>
        </is>
      </c>
      <c r="D5" t="inlineStr">
        <is>
          <t>MOT written reply (cards valid at end June 2021): seniors 47%, students 31%, child 6%, adult monthly travel cards 3%, NSF 3%, Workfare 9%, PwD 1%</t>
        </is>
      </c>
    </row>
    <row r="6">
      <c r="A6" t="inlineStr">
        <is>
          <t>Share of concession cards: student</t>
        </is>
      </c>
      <c r="B6" s="5" t="n">
        <v>0.31</v>
      </c>
      <c r="C6" t="inlineStr">
        <is>
          <t>share</t>
        </is>
      </c>
      <c r="D6" t="inlineStr">
        <is>
          <t>MOT written reply (cards valid at end June 2021): seniors 47%, students 31%, child 6%, adult monthly travel cards 3%, NSF 3%, Workfare 9%, PwD 1%</t>
        </is>
      </c>
    </row>
    <row r="7">
      <c r="A7" t="inlineStr">
        <is>
          <t>Share of concession cards: workfare</t>
        </is>
      </c>
      <c r="B7" s="5" t="n">
        <v>0.09</v>
      </c>
      <c r="C7" t="inlineStr">
        <is>
          <t>share</t>
        </is>
      </c>
      <c r="D7" t="inlineStr">
        <is>
          <t>MOT written reply (cards valid at end June 2021): seniors 47%, students 31%, child 6%, adult monthly travel cards 3%, NSF 3%, Workfare 9%, PwD 1%</t>
        </is>
      </c>
    </row>
    <row r="8">
      <c r="A8" t="inlineStr">
        <is>
          <t>Share of concession cards: child</t>
        </is>
      </c>
      <c r="B8" s="5" t="n">
        <v>0.06</v>
      </c>
      <c r="C8" t="inlineStr">
        <is>
          <t>share</t>
        </is>
      </c>
      <c r="D8" t="inlineStr">
        <is>
          <t>MOT written reply (cards valid at end June 2021): seniors 47%, students 31%, child 6%, adult monthly travel cards 3%, NSF 3%, Workfare 9%, PwD 1%</t>
        </is>
      </c>
    </row>
    <row r="9">
      <c r="A9" t="inlineStr">
        <is>
          <t>Smart-card trips on a weekday (bus + rail, Feb 2018)</t>
        </is>
      </c>
      <c r="B9" s="4" t="n">
        <v>6200000</v>
      </c>
      <c r="C9" t="inlineStr">
        <is>
          <t>trips/day</t>
        </is>
      </c>
      <c r="D9" t="inlineStr">
        <is>
          <t>arXiv 2509.13633 (academic preprint): a typical weekday in February 2018 had about 6.2 million trips, i.e. 4.5 million journeys (bus and rail)</t>
        </is>
      </c>
    </row>
    <row r="10">
      <c r="A10" t="inlineStr">
        <is>
          <t>Linked journeys on that weekday</t>
        </is>
      </c>
      <c r="B10" s="4" t="n">
        <v>4500000</v>
      </c>
      <c r="C10" t="inlineStr">
        <is>
          <t>journeys/day</t>
        </is>
      </c>
      <c r="D10" t="inlineStr">
        <is>
          <t>arXiv 2509.13633 (academic preprint): a typical weekday in February 2018 had about 6.2 million trips, i.e. 4.5 million journeys (bus and rail)</t>
        </is>
      </c>
    </row>
    <row r="11">
      <c r="A11" s="1" t="inlineStr">
        <is>
          <t>Derived shares of bus rides (formulas). Assumes rides per card are the same in every concession group, calibrated on seniors; children under 7 ride free.</t>
        </is>
      </c>
    </row>
    <row r="12">
      <c r="A12" t="inlineStr">
        <is>
          <t>Share of rides paying Senior / PwD fares</t>
        </is>
      </c>
      <c r="B12" s="6">
        <f>senior_trips_2019/bus_rides_2019*(card_senior+card_pwd)/card_senior</f>
        <v/>
      </c>
    </row>
    <row r="13">
      <c r="A13" t="inlineStr">
        <is>
          <t>Share of rides paying Student fares</t>
        </is>
      </c>
      <c r="B13" s="6">
        <f>senior_trips_2019/bus_rides_2019*card_student/card_senior</f>
        <v/>
      </c>
    </row>
    <row r="14">
      <c r="A14" t="inlineStr">
        <is>
          <t>Share of rides paying Workfare (WTCS) fares</t>
        </is>
      </c>
      <c r="B14" s="6">
        <f>senior_trips_2019/bus_rides_2019*card_workfare/card_senior</f>
        <v/>
      </c>
    </row>
    <row r="15">
      <c r="A15" t="inlineStr">
        <is>
          <t>Share of rides that are free (children under 7)</t>
        </is>
      </c>
      <c r="B15" s="6">
        <f>senior_trips_2019/bus_rides_2019*card_child/card_senior</f>
        <v/>
      </c>
    </row>
    <row r="16">
      <c r="A16" t="inlineStr">
        <is>
          <t>Share of rides paying Adult fares (the rest)</t>
        </is>
      </c>
      <c r="B16" s="6">
        <f>1-share_senior-share_student-share_workfare-share_free</f>
        <v/>
      </c>
    </row>
    <row r="17">
      <c r="A17" t="inlineStr">
        <is>
          <t>Share of rides that are a transfer leg (1 - journeys / trips)</t>
        </is>
      </c>
      <c r="B17" s="6">
        <f>1-journeys_2018/trips_2018</f>
        <v/>
      </c>
      <c r="D17" t="inlineStr">
        <is>
          <t>Bus and rail combined; used for bus rides as an approximation</t>
        </is>
      </c>
    </row>
    <row r="19">
      <c r="A19" t="inlineStr">
        <is>
          <t>20th percentile monthly household market income, 2025</t>
        </is>
      </c>
      <c r="B19" s="4" t="n">
        <v>4329</v>
      </c>
      <c r="C19" t="inlineStr">
        <is>
          <t>S$/month</t>
        </is>
      </c>
      <c r="D19" t="inlineStr">
        <is>
          <t>SingStat table C030012: 20th percentile monthly household market income, resident households, 2025</t>
        </is>
      </c>
    </row>
    <row r="20">
      <c r="A20" t="inlineStr">
        <is>
          <t>LTA average daily public bus ridership, 2025</t>
        </is>
      </c>
      <c r="B20" s="4" t="n">
        <v>3841000</v>
      </c>
      <c r="C20" t="inlineStr">
        <is>
          <t>rides/day</t>
        </is>
      </c>
      <c r="D20" t="inlineStr">
        <is>
          <t>LTA, Public Transport Ridership - Average Daily Ridership 2015-2025 (bus 2025: 3,841 thousand); same series on data.gov.sg d_ba615ec4cc5d9f5b7800ad82057f36f1</t>
        </is>
      </c>
    </row>
    <row r="21">
      <c r="A21" t="inlineStr">
        <is>
          <t>FRE 2025 extra fare revenue, bus + TEL, per year</t>
        </is>
      </c>
      <c r="B21" s="4" t="n">
        <v>62300000</v>
      </c>
      <c r="C21" t="inlineStr">
        <is>
          <t>S$/yr</t>
        </is>
      </c>
      <c r="D21" t="inlineStr">
        <is>
          <t>PTC FRE 2025 Annex A: fare revenues for bus and TEL collected by LTA will increase by $62.3 million</t>
        </is>
      </c>
    </row>
    <row r="22">
      <c r="A22" t="inlineStr">
        <is>
          <t>FRE 2026 extra fare revenue, bus + TEL, per year</t>
        </is>
      </c>
      <c r="B22" s="4" t="n">
        <v>97100000</v>
      </c>
      <c r="C22" t="inlineStr">
        <is>
          <t>S$/yr</t>
        </is>
      </c>
      <c r="D22" t="inlineStr">
        <is>
          <t>PTC FRE 2026 Annex A: bus and TEL fare revenue collected by LTA increases by $97.1 million</t>
        </is>
      </c>
    </row>
    <row r="23">
      <c r="A23" t="inlineStr">
        <is>
          <t>Days of FY2025/26 at the old (Dec 2024) fares</t>
        </is>
      </c>
      <c r="B23" s="7" t="n">
        <v>270</v>
      </c>
      <c r="C23" t="inlineStr">
        <is>
          <t>days</t>
        </is>
      </c>
      <c r="D23" t="inlineStr">
        <is>
          <t>1 Apr 2025 to 26 Dec 2025; the 2025 fare review took effect on 27 Dec 2025</t>
        </is>
      </c>
    </row>
    <row r="24">
      <c r="A24" t="inlineStr">
        <is>
          <t>Rail contracting (TEL/JRL) fare revenue, FY2025/26</t>
        </is>
      </c>
      <c r="B24" s="4" t="n">
        <v>76000000</v>
      </c>
      <c r="C24" t="inlineStr">
        <is>
          <t>S$</t>
        </is>
      </c>
      <c r="D24" t="inlineStr">
        <is>
          <t>LTA FY2025/26 financial statements: Rail Contracting (TEL/JRL) fare revenue $76m</t>
        </is>
      </c>
    </row>
    <row r="25">
      <c r="A25" t="inlineStr">
        <is>
          <t>Scheduled weekday bus-km per day (DataMall timetable bands)</t>
        </is>
      </c>
      <c r="B25" s="4" t="n">
        <v>910617.8224488986</v>
      </c>
      <c r="C25" t="inlineStr">
        <is>
          <t>bus-km/day</t>
        </is>
      </c>
      <c r="D25" t="inlineStr">
        <is>
          <t>finance.py: route length x scheduled trips from headway bands and first/last bus; weekday timetable</t>
        </is>
      </c>
    </row>
    <row r="26">
      <c r="A26" t="inlineStr">
        <is>
          <t>Rides a month for a regular commuter</t>
        </is>
      </c>
      <c r="B26" s="7" t="n">
        <v>44</v>
      </c>
      <c r="C26" t="inlineStr">
        <is>
          <t>rides</t>
        </is>
      </c>
      <c r="D26" t="inlineStr">
        <is>
          <t>2 rides a working day x 22 days (illustrative)</t>
        </is>
      </c>
    </row>
    <row r="27">
      <c r="A27" t="inlineStr">
        <is>
          <t>Adult Monthly Travel Pass (bus + train), from 27 Dec 2025</t>
        </is>
      </c>
      <c r="B27" s="8" t="n">
        <v>122</v>
      </c>
      <c r="C27" t="inlineStr">
        <is>
          <t>S$/month</t>
        </is>
      </c>
      <c r="D27" t="inlineStr">
        <is>
          <t>PTC FRE 2025 Annex B</t>
        </is>
      </c>
    </row>
    <row r="28">
      <c r="A28" t="inlineStr">
        <is>
          <t>Ridership growth per year (projection)</t>
        </is>
      </c>
      <c r="B28" s="9" t="n">
        <v>0.01246567154423128</v>
      </c>
      <c r="C28" t="inlineStr">
        <is>
          <t>share</t>
        </is>
      </c>
      <c r="D28" t="inlineStr">
        <is>
          <t>Average 2023-2025 growth of LTA average daily bus ridership (3,747k to 3,841k)</t>
        </is>
      </c>
    </row>
    <row r="29">
      <c r="A29" t="inlineStr">
        <is>
          <t>Operating cost growth per year (projection)</t>
        </is>
      </c>
      <c r="B29" s="9" t="n">
        <v>0.01943815999475551</v>
      </c>
      <c r="C29" t="inlineStr">
        <is>
          <t>share</t>
        </is>
      </c>
      <c r="D29" t="inlineStr">
        <is>
          <t>Average FY2020/21-FY2025/26 growth of Bus Contracting total operating expenditure (S$1,821m to S$2,005m)</t>
        </is>
      </c>
    </row>
    <row r="30">
      <c r="A30" t="inlineStr">
        <is>
          <t>Fare change at each later fare review (projection, FY2027 on)</t>
        </is>
      </c>
      <c r="B30" s="10" t="n">
        <v>0</v>
      </c>
      <c r="C30" t="inlineStr">
        <is>
          <t>share</t>
        </is>
      </c>
      <c r="D30" t="inlineStr">
        <is>
          <t>Not decided; 0% by default. Fare reviews take effect in late December.</t>
        </is>
      </c>
    </row>
    <row r="31">
      <c r="A31" t="inlineStr">
        <is>
          <t>Concession scenario: change in senior / PwD fares</t>
        </is>
      </c>
      <c r="B31" s="10" t="n">
        <v>-0.1</v>
      </c>
      <c r="C31" t="inlineStr">
        <is>
          <t>share</t>
        </is>
      </c>
      <c r="D31" t="inlineStr">
        <is>
          <t>Illustrative policy test</t>
        </is>
      </c>
    </row>
    <row r="32">
      <c r="A32" t="inlineStr">
        <is>
          <t>Bus share of bus + TEL fare revenue, FY2025/26</t>
        </is>
      </c>
      <c r="B32" s="6">
        <f>Fund!B2/(Fund!B2+tel_rev/1000000)</f>
        <v/>
      </c>
      <c r="D32" t="inlineStr">
        <is>
          <t>Fund sheet (bus) and the rail contracting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3" t="inlineStr">
        <is>
          <t>Band</t>
        </is>
      </c>
      <c r="B1" s="3" t="inlineStr">
        <is>
          <t>Fare km (ride-weighted mean of trunk rides)</t>
        </is>
      </c>
      <c r="C1" s="3" t="inlineStr">
        <is>
          <t>Adult trunk (now)</t>
        </is>
      </c>
      <c r="D1" s="3" t="inlineStr">
        <is>
          <t>Adult express (now)</t>
        </is>
      </c>
      <c r="E1" s="3" t="inlineStr">
        <is>
          <t>Senior / PwD trunk (now)</t>
        </is>
      </c>
      <c r="F1" s="3" t="inlineStr">
        <is>
          <t>Senior / PwD express (now)</t>
        </is>
      </c>
      <c r="G1" s="3" t="inlineStr">
        <is>
          <t>Student trunk (now)</t>
        </is>
      </c>
      <c r="H1" s="3" t="inlineStr">
        <is>
          <t>Student express (now)</t>
        </is>
      </c>
      <c r="I1" s="3" t="inlineStr">
        <is>
          <t>Workfare (WTCS) trunk (now)</t>
        </is>
      </c>
      <c r="J1" s="3" t="inlineStr">
        <is>
          <t>Workfare (WTCS) express (now)</t>
        </is>
      </c>
      <c r="K1" s="3" t="inlineStr">
        <is>
          <t>Adult trunk (Dec 2026)</t>
        </is>
      </c>
      <c r="L1" s="3" t="inlineStr">
        <is>
          <t>Adult express (Dec 2026)</t>
        </is>
      </c>
      <c r="M1" s="3" t="inlineStr">
        <is>
          <t>Senior / PwD trunk (Dec 2026)</t>
        </is>
      </c>
      <c r="N1" s="3" t="inlineStr">
        <is>
          <t>Senior / PwD express (Dec 2026)</t>
        </is>
      </c>
      <c r="O1" s="3" t="inlineStr">
        <is>
          <t>Student trunk (Dec 2026)</t>
        </is>
      </c>
      <c r="P1" s="3" t="inlineStr">
        <is>
          <t>Student express (Dec 2026)</t>
        </is>
      </c>
      <c r="Q1" s="3" t="inlineStr">
        <is>
          <t>Workfare (WTCS) trunk (Dec 2026)</t>
        </is>
      </c>
      <c r="R1" s="3" t="inlineStr">
        <is>
          <t>Workfare (WTCS) express (Dec 2026)</t>
        </is>
      </c>
    </row>
    <row r="2">
      <c r="A2" t="inlineStr">
        <is>
          <t>Up to 3.2 km</t>
        </is>
      </c>
      <c r="B2" s="11" t="n">
        <v>1.61030630575042</v>
      </c>
      <c r="C2" s="11" t="n">
        <v>128</v>
      </c>
      <c r="D2" s="11" t="n">
        <v>228</v>
      </c>
      <c r="E2" s="11" t="n">
        <v>69</v>
      </c>
      <c r="F2" s="11" t="n">
        <v>134</v>
      </c>
      <c r="G2" s="11" t="n">
        <v>52</v>
      </c>
      <c r="H2" s="11" t="n">
        <v>102</v>
      </c>
      <c r="I2" s="11" t="n">
        <v>78</v>
      </c>
      <c r="J2" s="11" t="n">
        <v>148</v>
      </c>
      <c r="K2" s="11" t="n">
        <v>140</v>
      </c>
      <c r="L2" s="11" t="n">
        <v>240</v>
      </c>
      <c r="M2" s="11" t="n">
        <v>74</v>
      </c>
      <c r="N2" s="11" t="n">
        <v>139</v>
      </c>
      <c r="O2" s="11" t="n">
        <v>57</v>
      </c>
      <c r="P2" s="11" t="n">
        <v>107</v>
      </c>
      <c r="Q2" s="11" t="n">
        <v>78</v>
      </c>
      <c r="R2" s="11" t="n">
        <v>148</v>
      </c>
    </row>
    <row r="3">
      <c r="A3" t="inlineStr">
        <is>
          <t>3.3 km - 4.2 km</t>
        </is>
      </c>
      <c r="B3" s="11" t="n">
        <v>3.725337060972729</v>
      </c>
      <c r="C3" s="11" t="n">
        <v>138</v>
      </c>
      <c r="D3" s="11" t="n">
        <v>238</v>
      </c>
      <c r="E3" s="11" t="n">
        <v>79</v>
      </c>
      <c r="F3" s="11" t="n">
        <v>144</v>
      </c>
      <c r="G3" s="11" t="n">
        <v>60</v>
      </c>
      <c r="H3" s="11" t="n">
        <v>110</v>
      </c>
      <c r="I3" s="11" t="n">
        <v>89</v>
      </c>
      <c r="J3" s="11" t="n">
        <v>159</v>
      </c>
      <c r="K3" s="11" t="n">
        <v>151</v>
      </c>
      <c r="L3" s="11" t="n">
        <v>251</v>
      </c>
      <c r="M3" s="11" t="n">
        <v>84</v>
      </c>
      <c r="N3" s="11" t="n">
        <v>149</v>
      </c>
      <c r="O3" s="11" t="n">
        <v>65</v>
      </c>
      <c r="P3" s="11" t="n">
        <v>115</v>
      </c>
      <c r="Q3" s="11" t="n">
        <v>89</v>
      </c>
      <c r="R3" s="11" t="n">
        <v>159</v>
      </c>
    </row>
    <row r="4">
      <c r="A4" t="inlineStr">
        <is>
          <t>4.3 km - 5.2 km</t>
        </is>
      </c>
      <c r="B4" s="11" t="n">
        <v>4.720464184866204</v>
      </c>
      <c r="C4" s="11" t="n">
        <v>149</v>
      </c>
      <c r="D4" s="11" t="n">
        <v>249</v>
      </c>
      <c r="E4" s="11" t="n">
        <v>87</v>
      </c>
      <c r="F4" s="11" t="n">
        <v>152</v>
      </c>
      <c r="G4" s="11" t="n">
        <v>66</v>
      </c>
      <c r="H4" s="11" t="n">
        <v>116</v>
      </c>
      <c r="I4" s="11" t="n">
        <v>98</v>
      </c>
      <c r="J4" s="11" t="n">
        <v>168</v>
      </c>
      <c r="K4" s="11" t="n">
        <v>162</v>
      </c>
      <c r="L4" s="11" t="n">
        <v>262</v>
      </c>
      <c r="M4" s="11" t="n">
        <v>92</v>
      </c>
      <c r="N4" s="11" t="n">
        <v>157</v>
      </c>
      <c r="O4" s="11" t="n">
        <v>71</v>
      </c>
      <c r="P4" s="11" t="n">
        <v>121</v>
      </c>
      <c r="Q4" s="11" t="n">
        <v>98</v>
      </c>
      <c r="R4" s="11" t="n">
        <v>168</v>
      </c>
    </row>
    <row r="5">
      <c r="A5" t="inlineStr">
        <is>
          <t>5.3 km - 6.2 km</t>
        </is>
      </c>
      <c r="B5" s="11" t="n">
        <v>5.729931748201221</v>
      </c>
      <c r="C5" s="11" t="n">
        <v>159</v>
      </c>
      <c r="D5" s="11" t="n">
        <v>259</v>
      </c>
      <c r="E5" s="11" t="n">
        <v>94</v>
      </c>
      <c r="F5" s="11" t="n">
        <v>159</v>
      </c>
      <c r="G5" s="11" t="n">
        <v>71</v>
      </c>
      <c r="H5" s="11" t="n">
        <v>121</v>
      </c>
      <c r="I5" s="11" t="n">
        <v>106</v>
      </c>
      <c r="J5" s="11" t="n">
        <v>176</v>
      </c>
      <c r="K5" s="11" t="n">
        <v>172</v>
      </c>
      <c r="L5" s="11" t="n">
        <v>272</v>
      </c>
      <c r="M5" s="11" t="n">
        <v>99</v>
      </c>
      <c r="N5" s="11" t="n">
        <v>164</v>
      </c>
      <c r="O5" s="11" t="n">
        <v>76</v>
      </c>
      <c r="P5" s="11" t="n">
        <v>126</v>
      </c>
      <c r="Q5" s="11" t="n">
        <v>106</v>
      </c>
      <c r="R5" s="11" t="n">
        <v>176</v>
      </c>
    </row>
    <row r="6">
      <c r="A6" t="inlineStr">
        <is>
          <t>6.3 km - 7.2 km</t>
        </is>
      </c>
      <c r="B6" s="11" t="n">
        <v>6.738898438627293</v>
      </c>
      <c r="C6" s="11" t="n">
        <v>168</v>
      </c>
      <c r="D6" s="11" t="n">
        <v>268</v>
      </c>
      <c r="E6" s="11" t="n">
        <v>100</v>
      </c>
      <c r="F6" s="11" t="n">
        <v>165</v>
      </c>
      <c r="G6" s="11" t="n">
        <v>74</v>
      </c>
      <c r="H6" s="11" t="n">
        <v>124</v>
      </c>
      <c r="I6" s="11" t="n">
        <v>113</v>
      </c>
      <c r="J6" s="11" t="n">
        <v>183</v>
      </c>
      <c r="K6" s="11" t="n">
        <v>181</v>
      </c>
      <c r="L6" s="11" t="n">
        <v>281</v>
      </c>
      <c r="M6" s="11" t="n">
        <v>105</v>
      </c>
      <c r="N6" s="11" t="n">
        <v>170</v>
      </c>
      <c r="O6" s="11" t="n">
        <v>79</v>
      </c>
      <c r="P6" s="11" t="n">
        <v>129</v>
      </c>
      <c r="Q6" s="11" t="n">
        <v>113</v>
      </c>
      <c r="R6" s="11" t="n">
        <v>183</v>
      </c>
    </row>
    <row r="7">
      <c r="A7" t="inlineStr">
        <is>
          <t>7.3 km - 8.2 km</t>
        </is>
      </c>
      <c r="B7" s="11" t="n">
        <v>7.729865669230197</v>
      </c>
      <c r="C7" s="11" t="n">
        <v>175</v>
      </c>
      <c r="D7" s="11" t="n">
        <v>275</v>
      </c>
      <c r="E7" s="11" t="n">
        <v>107</v>
      </c>
      <c r="F7" s="11" t="n">
        <v>172</v>
      </c>
      <c r="G7" s="11" t="n">
        <v>78</v>
      </c>
      <c r="H7" s="11" t="n">
        <v>128</v>
      </c>
      <c r="I7" s="11" t="n">
        <v>120</v>
      </c>
      <c r="J7" s="11" t="n">
        <v>190</v>
      </c>
      <c r="K7" s="11" t="n">
        <v>188</v>
      </c>
      <c r="L7" s="11" t="n">
        <v>288</v>
      </c>
      <c r="M7" s="11" t="n">
        <v>112</v>
      </c>
      <c r="N7" s="11" t="n">
        <v>177</v>
      </c>
      <c r="O7" s="11" t="n">
        <v>83</v>
      </c>
      <c r="P7" s="11" t="n">
        <v>133</v>
      </c>
      <c r="Q7" s="11" t="n">
        <v>120</v>
      </c>
      <c r="R7" s="11" t="n">
        <v>190</v>
      </c>
    </row>
    <row r="8">
      <c r="A8" t="inlineStr">
        <is>
          <t>8.3 km - 9.2 km</t>
        </is>
      </c>
      <c r="B8" s="11" t="n">
        <v>8.734369866444419</v>
      </c>
      <c r="C8" s="11" t="n">
        <v>182</v>
      </c>
      <c r="D8" s="11" t="n">
        <v>282</v>
      </c>
      <c r="E8" s="11" t="n">
        <v>107</v>
      </c>
      <c r="F8" s="11" t="n">
        <v>172</v>
      </c>
      <c r="G8" s="11" t="n">
        <v>78</v>
      </c>
      <c r="H8" s="11" t="n">
        <v>128</v>
      </c>
      <c r="I8" s="11" t="n">
        <v>126</v>
      </c>
      <c r="J8" s="11" t="n">
        <v>196</v>
      </c>
      <c r="K8" s="11" t="n">
        <v>195</v>
      </c>
      <c r="L8" s="11" t="n">
        <v>295</v>
      </c>
      <c r="M8" s="11" t="n">
        <v>112</v>
      </c>
      <c r="N8" s="11" t="n">
        <v>177</v>
      </c>
      <c r="O8" s="11" t="n">
        <v>83</v>
      </c>
      <c r="P8" s="11" t="n">
        <v>133</v>
      </c>
      <c r="Q8" s="11" t="n">
        <v>126</v>
      </c>
      <c r="R8" s="11" t="n">
        <v>196</v>
      </c>
    </row>
    <row r="9">
      <c r="A9" t="inlineStr">
        <is>
          <t>9.3 km - 10.2 km</t>
        </is>
      </c>
      <c r="B9" s="11" t="n">
        <v>9.729265951417808</v>
      </c>
      <c r="C9" s="11" t="n">
        <v>186</v>
      </c>
      <c r="D9" s="11" t="n">
        <v>286</v>
      </c>
      <c r="E9" s="11" t="n">
        <v>107</v>
      </c>
      <c r="F9" s="11" t="n">
        <v>172</v>
      </c>
      <c r="G9" s="11" t="n">
        <v>78</v>
      </c>
      <c r="H9" s="11" t="n">
        <v>128</v>
      </c>
      <c r="I9" s="11" t="n">
        <v>129</v>
      </c>
      <c r="J9" s="11" t="n">
        <v>199</v>
      </c>
      <c r="K9" s="11" t="n">
        <v>199</v>
      </c>
      <c r="L9" s="11" t="n">
        <v>299</v>
      </c>
      <c r="M9" s="11" t="n">
        <v>112</v>
      </c>
      <c r="N9" s="11" t="n">
        <v>177</v>
      </c>
      <c r="O9" s="11" t="n">
        <v>83</v>
      </c>
      <c r="P9" s="11" t="n">
        <v>133</v>
      </c>
      <c r="Q9" s="11" t="n">
        <v>129</v>
      </c>
      <c r="R9" s="11" t="n">
        <v>199</v>
      </c>
    </row>
    <row r="10">
      <c r="A10" t="inlineStr">
        <is>
          <t>10.3 km - 11.2 km</t>
        </is>
      </c>
      <c r="B10" s="11" t="n">
        <v>10.7317747524858</v>
      </c>
      <c r="C10" s="11" t="n">
        <v>190</v>
      </c>
      <c r="D10" s="11" t="n">
        <v>290</v>
      </c>
      <c r="E10" s="11" t="n">
        <v>107</v>
      </c>
      <c r="F10" s="11" t="n">
        <v>172</v>
      </c>
      <c r="G10" s="11" t="n">
        <v>78</v>
      </c>
      <c r="H10" s="11" t="n">
        <v>128</v>
      </c>
      <c r="I10" s="11" t="n">
        <v>132</v>
      </c>
      <c r="J10" s="11" t="n">
        <v>202</v>
      </c>
      <c r="K10" s="11" t="n">
        <v>203</v>
      </c>
      <c r="L10" s="11" t="n">
        <v>303</v>
      </c>
      <c r="M10" s="11" t="n">
        <v>112</v>
      </c>
      <c r="N10" s="11" t="n">
        <v>177</v>
      </c>
      <c r="O10" s="11" t="n">
        <v>83</v>
      </c>
      <c r="P10" s="11" t="n">
        <v>133</v>
      </c>
      <c r="Q10" s="11" t="n">
        <v>132</v>
      </c>
      <c r="R10" s="11" t="n">
        <v>202</v>
      </c>
    </row>
    <row r="11">
      <c r="A11" t="inlineStr">
        <is>
          <t>11.3 km - 12.2 km</t>
        </is>
      </c>
      <c r="B11" s="11" t="n">
        <v>11.72088928744981</v>
      </c>
      <c r="C11" s="11" t="n">
        <v>194</v>
      </c>
      <c r="D11" s="11" t="n">
        <v>294</v>
      </c>
      <c r="E11" s="11" t="n">
        <v>107</v>
      </c>
      <c r="F11" s="11" t="n">
        <v>172</v>
      </c>
      <c r="G11" s="11" t="n">
        <v>78</v>
      </c>
      <c r="H11" s="11" t="n">
        <v>128</v>
      </c>
      <c r="I11" s="11" t="n">
        <v>135</v>
      </c>
      <c r="J11" s="11" t="n">
        <v>205</v>
      </c>
      <c r="K11" s="11" t="n">
        <v>207</v>
      </c>
      <c r="L11" s="11" t="n">
        <v>307</v>
      </c>
      <c r="M11" s="11" t="n">
        <v>112</v>
      </c>
      <c r="N11" s="11" t="n">
        <v>177</v>
      </c>
      <c r="O11" s="11" t="n">
        <v>83</v>
      </c>
      <c r="P11" s="11" t="n">
        <v>133</v>
      </c>
      <c r="Q11" s="11" t="n">
        <v>135</v>
      </c>
      <c r="R11" s="11" t="n">
        <v>205</v>
      </c>
    </row>
    <row r="12">
      <c r="A12" t="inlineStr">
        <is>
          <t>12.3 km - 13.2 km</t>
        </is>
      </c>
      <c r="B12" s="11" t="n">
        <v>12.73400430611948</v>
      </c>
      <c r="C12" s="11" t="n">
        <v>198</v>
      </c>
      <c r="D12" s="11" t="n">
        <v>298</v>
      </c>
      <c r="E12" s="11" t="n">
        <v>107</v>
      </c>
      <c r="F12" s="11" t="n">
        <v>172</v>
      </c>
      <c r="G12" s="11" t="n">
        <v>78</v>
      </c>
      <c r="H12" s="11" t="n">
        <v>128</v>
      </c>
      <c r="I12" s="11" t="n">
        <v>138</v>
      </c>
      <c r="J12" s="11" t="n">
        <v>208</v>
      </c>
      <c r="K12" s="11" t="n">
        <v>211</v>
      </c>
      <c r="L12" s="11" t="n">
        <v>311</v>
      </c>
      <c r="M12" s="11" t="n">
        <v>112</v>
      </c>
      <c r="N12" s="11" t="n">
        <v>177</v>
      </c>
      <c r="O12" s="11" t="n">
        <v>83</v>
      </c>
      <c r="P12" s="11" t="n">
        <v>133</v>
      </c>
      <c r="Q12" s="11" t="n">
        <v>138</v>
      </c>
      <c r="R12" s="11" t="n">
        <v>208</v>
      </c>
    </row>
    <row r="13">
      <c r="A13" t="inlineStr">
        <is>
          <t>13.3 km - 14.2 km</t>
        </is>
      </c>
      <c r="B13" s="11" t="n">
        <v>13.72027954947598</v>
      </c>
      <c r="C13" s="11" t="n">
        <v>202</v>
      </c>
      <c r="D13" s="11" t="n">
        <v>302</v>
      </c>
      <c r="E13" s="11" t="n">
        <v>107</v>
      </c>
      <c r="F13" s="11" t="n">
        <v>172</v>
      </c>
      <c r="G13" s="11" t="n">
        <v>78</v>
      </c>
      <c r="H13" s="11" t="n">
        <v>128</v>
      </c>
      <c r="I13" s="11" t="n">
        <v>141</v>
      </c>
      <c r="J13" s="11" t="n">
        <v>211</v>
      </c>
      <c r="K13" s="11" t="n">
        <v>215</v>
      </c>
      <c r="L13" s="11" t="n">
        <v>315</v>
      </c>
      <c r="M13" s="11" t="n">
        <v>112</v>
      </c>
      <c r="N13" s="11" t="n">
        <v>177</v>
      </c>
      <c r="O13" s="11" t="n">
        <v>83</v>
      </c>
      <c r="P13" s="11" t="n">
        <v>133</v>
      </c>
      <c r="Q13" s="11" t="n">
        <v>141</v>
      </c>
      <c r="R13" s="11" t="n">
        <v>211</v>
      </c>
    </row>
    <row r="14">
      <c r="A14" t="inlineStr">
        <is>
          <t>14.3 km - 15.2 km</t>
        </is>
      </c>
      <c r="B14" s="11" t="n">
        <v>14.72419078529593</v>
      </c>
      <c r="C14" s="11" t="n">
        <v>207</v>
      </c>
      <c r="D14" s="11" t="n">
        <v>307</v>
      </c>
      <c r="E14" s="11" t="n">
        <v>107</v>
      </c>
      <c r="F14" s="11" t="n">
        <v>172</v>
      </c>
      <c r="G14" s="11" t="n">
        <v>78</v>
      </c>
      <c r="H14" s="11" t="n">
        <v>128</v>
      </c>
      <c r="I14" s="11" t="n">
        <v>144</v>
      </c>
      <c r="J14" s="11" t="n">
        <v>214</v>
      </c>
      <c r="K14" s="11" t="n">
        <v>220</v>
      </c>
      <c r="L14" s="11" t="n">
        <v>320</v>
      </c>
      <c r="M14" s="11" t="n">
        <v>112</v>
      </c>
      <c r="N14" s="11" t="n">
        <v>177</v>
      </c>
      <c r="O14" s="11" t="n">
        <v>83</v>
      </c>
      <c r="P14" s="11" t="n">
        <v>133</v>
      </c>
      <c r="Q14" s="11" t="n">
        <v>144</v>
      </c>
      <c r="R14" s="11" t="n">
        <v>214</v>
      </c>
    </row>
    <row r="15">
      <c r="A15" t="inlineStr">
        <is>
          <t>15.3 km - 16.2 km</t>
        </is>
      </c>
      <c r="B15" s="11" t="n">
        <v>15.72955629720336</v>
      </c>
      <c r="C15" s="11" t="n">
        <v>211</v>
      </c>
      <c r="D15" s="11" t="n">
        <v>311</v>
      </c>
      <c r="E15" s="11" t="n">
        <v>107</v>
      </c>
      <c r="F15" s="11" t="n">
        <v>172</v>
      </c>
      <c r="G15" s="11" t="n">
        <v>78</v>
      </c>
      <c r="H15" s="11" t="n">
        <v>128</v>
      </c>
      <c r="I15" s="11" t="n">
        <v>147</v>
      </c>
      <c r="J15" s="11" t="n">
        <v>217</v>
      </c>
      <c r="K15" s="11" t="n">
        <v>224</v>
      </c>
      <c r="L15" s="11" t="n">
        <v>324</v>
      </c>
      <c r="M15" s="11" t="n">
        <v>112</v>
      </c>
      <c r="N15" s="11" t="n">
        <v>177</v>
      </c>
      <c r="O15" s="11" t="n">
        <v>83</v>
      </c>
      <c r="P15" s="11" t="n">
        <v>133</v>
      </c>
      <c r="Q15" s="11" t="n">
        <v>147</v>
      </c>
      <c r="R15" s="11" t="n">
        <v>217</v>
      </c>
    </row>
    <row r="16">
      <c r="A16" t="inlineStr">
        <is>
          <t>16.3 km - 17.2 km</t>
        </is>
      </c>
      <c r="B16" s="11" t="n">
        <v>16.76313773959467</v>
      </c>
      <c r="C16" s="11" t="n">
        <v>215</v>
      </c>
      <c r="D16" s="11" t="n">
        <v>315</v>
      </c>
      <c r="E16" s="11" t="n">
        <v>107</v>
      </c>
      <c r="F16" s="11" t="n">
        <v>172</v>
      </c>
      <c r="G16" s="11" t="n">
        <v>78</v>
      </c>
      <c r="H16" s="11" t="n">
        <v>128</v>
      </c>
      <c r="I16" s="11" t="n">
        <v>150</v>
      </c>
      <c r="J16" s="11" t="n">
        <v>220</v>
      </c>
      <c r="K16" s="11" t="n">
        <v>228</v>
      </c>
      <c r="L16" s="11" t="n">
        <v>328</v>
      </c>
      <c r="M16" s="11" t="n">
        <v>112</v>
      </c>
      <c r="N16" s="11" t="n">
        <v>177</v>
      </c>
      <c r="O16" s="11" t="n">
        <v>83</v>
      </c>
      <c r="P16" s="11" t="n">
        <v>133</v>
      </c>
      <c r="Q16" s="11" t="n">
        <v>150</v>
      </c>
      <c r="R16" s="11" t="n">
        <v>220</v>
      </c>
    </row>
    <row r="17">
      <c r="A17" t="inlineStr">
        <is>
          <t>17.3 km - 18.2 km</t>
        </is>
      </c>
      <c r="B17" s="11" t="n">
        <v>17.71138681308045</v>
      </c>
      <c r="C17" s="11" t="n">
        <v>220</v>
      </c>
      <c r="D17" s="11" t="n">
        <v>320</v>
      </c>
      <c r="E17" s="11" t="n">
        <v>107</v>
      </c>
      <c r="F17" s="11" t="n">
        <v>172</v>
      </c>
      <c r="G17" s="11" t="n">
        <v>78</v>
      </c>
      <c r="H17" s="11" t="n">
        <v>128</v>
      </c>
      <c r="I17" s="11" t="n">
        <v>153</v>
      </c>
      <c r="J17" s="11" t="n">
        <v>223</v>
      </c>
      <c r="K17" s="11" t="n">
        <v>233</v>
      </c>
      <c r="L17" s="11" t="n">
        <v>333</v>
      </c>
      <c r="M17" s="11" t="n">
        <v>112</v>
      </c>
      <c r="N17" s="11" t="n">
        <v>177</v>
      </c>
      <c r="O17" s="11" t="n">
        <v>83</v>
      </c>
      <c r="P17" s="11" t="n">
        <v>133</v>
      </c>
      <c r="Q17" s="11" t="n">
        <v>153</v>
      </c>
      <c r="R17" s="11" t="n">
        <v>223</v>
      </c>
    </row>
    <row r="18">
      <c r="A18" t="inlineStr">
        <is>
          <t>18.3 km - 19.2 km</t>
        </is>
      </c>
      <c r="B18" s="11" t="n">
        <v>18.73117017625993</v>
      </c>
      <c r="C18" s="11" t="n">
        <v>224</v>
      </c>
      <c r="D18" s="11" t="n">
        <v>324</v>
      </c>
      <c r="E18" s="11" t="n">
        <v>107</v>
      </c>
      <c r="F18" s="11" t="n">
        <v>172</v>
      </c>
      <c r="G18" s="11" t="n">
        <v>78</v>
      </c>
      <c r="H18" s="11" t="n">
        <v>128</v>
      </c>
      <c r="I18" s="11" t="n">
        <v>156</v>
      </c>
      <c r="J18" s="11" t="n">
        <v>226</v>
      </c>
      <c r="K18" s="11" t="n">
        <v>237</v>
      </c>
      <c r="L18" s="11" t="n">
        <v>337</v>
      </c>
      <c r="M18" s="11" t="n">
        <v>112</v>
      </c>
      <c r="N18" s="11" t="n">
        <v>177</v>
      </c>
      <c r="O18" s="11" t="n">
        <v>83</v>
      </c>
      <c r="P18" s="11" t="n">
        <v>133</v>
      </c>
      <c r="Q18" s="11" t="n">
        <v>156</v>
      </c>
      <c r="R18" s="11" t="n">
        <v>226</v>
      </c>
    </row>
    <row r="19">
      <c r="A19" t="inlineStr">
        <is>
          <t>19.3 km - 20.2 km</t>
        </is>
      </c>
      <c r="B19" s="11" t="n">
        <v>19.70575379576961</v>
      </c>
      <c r="C19" s="11" t="n">
        <v>227</v>
      </c>
      <c r="D19" s="11" t="n">
        <v>327</v>
      </c>
      <c r="E19" s="11" t="n">
        <v>107</v>
      </c>
      <c r="F19" s="11" t="n">
        <v>172</v>
      </c>
      <c r="G19" s="11" t="n">
        <v>78</v>
      </c>
      <c r="H19" s="11" t="n">
        <v>128</v>
      </c>
      <c r="I19" s="11" t="n">
        <v>159</v>
      </c>
      <c r="J19" s="11" t="n">
        <v>229</v>
      </c>
      <c r="K19" s="11" t="n">
        <v>240</v>
      </c>
      <c r="L19" s="11" t="n">
        <v>340</v>
      </c>
      <c r="M19" s="11" t="n">
        <v>112</v>
      </c>
      <c r="N19" s="11" t="n">
        <v>177</v>
      </c>
      <c r="O19" s="11" t="n">
        <v>83</v>
      </c>
      <c r="P19" s="11" t="n">
        <v>133</v>
      </c>
      <c r="Q19" s="11" t="n">
        <v>159</v>
      </c>
      <c r="R19" s="11" t="n">
        <v>229</v>
      </c>
    </row>
    <row r="20">
      <c r="A20" t="inlineStr">
        <is>
          <t>20.3 km - 21.2 km</t>
        </is>
      </c>
      <c r="B20" s="11" t="n">
        <v>20.65437407277353</v>
      </c>
      <c r="C20" s="11" t="n">
        <v>230</v>
      </c>
      <c r="D20" s="11" t="n">
        <v>330</v>
      </c>
      <c r="E20" s="11" t="n">
        <v>107</v>
      </c>
      <c r="F20" s="11" t="n">
        <v>172</v>
      </c>
      <c r="G20" s="11" t="n">
        <v>78</v>
      </c>
      <c r="H20" s="11" t="n">
        <v>128</v>
      </c>
      <c r="I20" s="11" t="n">
        <v>162</v>
      </c>
      <c r="J20" s="11" t="n">
        <v>232</v>
      </c>
      <c r="K20" s="11" t="n">
        <v>243</v>
      </c>
      <c r="L20" s="11" t="n">
        <v>343</v>
      </c>
      <c r="M20" s="11" t="n">
        <v>112</v>
      </c>
      <c r="N20" s="11" t="n">
        <v>177</v>
      </c>
      <c r="O20" s="11" t="n">
        <v>83</v>
      </c>
      <c r="P20" s="11" t="n">
        <v>133</v>
      </c>
      <c r="Q20" s="11" t="n">
        <v>162</v>
      </c>
      <c r="R20" s="11" t="n">
        <v>232</v>
      </c>
    </row>
    <row r="21">
      <c r="A21" t="inlineStr">
        <is>
          <t>21.3 km - 22.2 km</t>
        </is>
      </c>
      <c r="B21" s="11" t="n">
        <v>21.7197623101645</v>
      </c>
      <c r="C21" s="11" t="n">
        <v>233</v>
      </c>
      <c r="D21" s="11" t="n">
        <v>333</v>
      </c>
      <c r="E21" s="11" t="n">
        <v>107</v>
      </c>
      <c r="F21" s="11" t="n">
        <v>172</v>
      </c>
      <c r="G21" s="11" t="n">
        <v>78</v>
      </c>
      <c r="H21" s="11" t="n">
        <v>128</v>
      </c>
      <c r="I21" s="11" t="n">
        <v>165</v>
      </c>
      <c r="J21" s="11" t="n">
        <v>235</v>
      </c>
      <c r="K21" s="11" t="n">
        <v>246</v>
      </c>
      <c r="L21" s="11" t="n">
        <v>346</v>
      </c>
      <c r="M21" s="11" t="n">
        <v>112</v>
      </c>
      <c r="N21" s="11" t="n">
        <v>177</v>
      </c>
      <c r="O21" s="11" t="n">
        <v>83</v>
      </c>
      <c r="P21" s="11" t="n">
        <v>133</v>
      </c>
      <c r="Q21" s="11" t="n">
        <v>165</v>
      </c>
      <c r="R21" s="11" t="n">
        <v>235</v>
      </c>
    </row>
    <row r="22">
      <c r="A22" t="inlineStr">
        <is>
          <t>22.3 km - 23.2 km</t>
        </is>
      </c>
      <c r="B22" s="11" t="n">
        <v>22.74765946734146</v>
      </c>
      <c r="C22" s="11" t="n">
        <v>236</v>
      </c>
      <c r="D22" s="11" t="n">
        <v>336</v>
      </c>
      <c r="E22" s="11" t="n">
        <v>107</v>
      </c>
      <c r="F22" s="11" t="n">
        <v>172</v>
      </c>
      <c r="G22" s="11" t="n">
        <v>78</v>
      </c>
      <c r="H22" s="11" t="n">
        <v>128</v>
      </c>
      <c r="I22" s="11" t="n">
        <v>168</v>
      </c>
      <c r="J22" s="11" t="n">
        <v>238</v>
      </c>
      <c r="K22" s="11" t="n">
        <v>249</v>
      </c>
      <c r="L22" s="11" t="n">
        <v>349</v>
      </c>
      <c r="M22" s="11" t="n">
        <v>112</v>
      </c>
      <c r="N22" s="11" t="n">
        <v>177</v>
      </c>
      <c r="O22" s="11" t="n">
        <v>83</v>
      </c>
      <c r="P22" s="11" t="n">
        <v>133</v>
      </c>
      <c r="Q22" s="11" t="n">
        <v>168</v>
      </c>
      <c r="R22" s="11" t="n">
        <v>238</v>
      </c>
    </row>
    <row r="23">
      <c r="A23" t="inlineStr">
        <is>
          <t>23.3 km - 24.2 km</t>
        </is>
      </c>
      <c r="B23" s="11" t="n">
        <v>23.72738583487133</v>
      </c>
      <c r="C23" s="11" t="n">
        <v>238</v>
      </c>
      <c r="D23" s="11" t="n">
        <v>338</v>
      </c>
      <c r="E23" s="11" t="n">
        <v>107</v>
      </c>
      <c r="F23" s="11" t="n">
        <v>172</v>
      </c>
      <c r="G23" s="11" t="n">
        <v>78</v>
      </c>
      <c r="H23" s="11" t="n">
        <v>128</v>
      </c>
      <c r="I23" s="11" t="n">
        <v>170</v>
      </c>
      <c r="J23" s="11" t="n">
        <v>240</v>
      </c>
      <c r="K23" s="11" t="n">
        <v>251</v>
      </c>
      <c r="L23" s="11" t="n">
        <v>351</v>
      </c>
      <c r="M23" s="11" t="n">
        <v>112</v>
      </c>
      <c r="N23" s="11" t="n">
        <v>177</v>
      </c>
      <c r="O23" s="11" t="n">
        <v>83</v>
      </c>
      <c r="P23" s="11" t="n">
        <v>133</v>
      </c>
      <c r="Q23" s="11" t="n">
        <v>170</v>
      </c>
      <c r="R23" s="11" t="n">
        <v>240</v>
      </c>
    </row>
    <row r="24">
      <c r="A24" t="inlineStr">
        <is>
          <t>24.3 km - 25.2 km</t>
        </is>
      </c>
      <c r="B24" s="11" t="n">
        <v>24.69410019131949</v>
      </c>
      <c r="C24" s="11" t="n">
        <v>240</v>
      </c>
      <c r="D24" s="11" t="n">
        <v>340</v>
      </c>
      <c r="E24" s="11" t="n">
        <v>107</v>
      </c>
      <c r="F24" s="11" t="n">
        <v>172</v>
      </c>
      <c r="G24" s="11" t="n">
        <v>78</v>
      </c>
      <c r="H24" s="11" t="n">
        <v>128</v>
      </c>
      <c r="I24" s="11" t="n">
        <v>171</v>
      </c>
      <c r="J24" s="11" t="n">
        <v>241</v>
      </c>
      <c r="K24" s="11" t="n">
        <v>253</v>
      </c>
      <c r="L24" s="11" t="n">
        <v>353</v>
      </c>
      <c r="M24" s="11" t="n">
        <v>112</v>
      </c>
      <c r="N24" s="11" t="n">
        <v>177</v>
      </c>
      <c r="O24" s="11" t="n">
        <v>83</v>
      </c>
      <c r="P24" s="11" t="n">
        <v>133</v>
      </c>
      <c r="Q24" s="11" t="n">
        <v>171</v>
      </c>
      <c r="R24" s="11" t="n">
        <v>241</v>
      </c>
    </row>
    <row r="25">
      <c r="A25" t="inlineStr">
        <is>
          <t>25.3 km - 26.2 km</t>
        </is>
      </c>
      <c r="B25" s="11" t="n">
        <v>25.68994602962596</v>
      </c>
      <c r="C25" s="11" t="n">
        <v>242</v>
      </c>
      <c r="D25" s="11" t="n">
        <v>342</v>
      </c>
      <c r="E25" s="11" t="n">
        <v>107</v>
      </c>
      <c r="F25" s="11" t="n">
        <v>172</v>
      </c>
      <c r="G25" s="11" t="n">
        <v>78</v>
      </c>
      <c r="H25" s="11" t="n">
        <v>128</v>
      </c>
      <c r="I25" s="11" t="n">
        <v>172</v>
      </c>
      <c r="J25" s="11" t="n">
        <v>242</v>
      </c>
      <c r="K25" s="11" t="n">
        <v>255</v>
      </c>
      <c r="L25" s="11" t="n">
        <v>355</v>
      </c>
      <c r="M25" s="11" t="n">
        <v>112</v>
      </c>
      <c r="N25" s="11" t="n">
        <v>177</v>
      </c>
      <c r="O25" s="11" t="n">
        <v>83</v>
      </c>
      <c r="P25" s="11" t="n">
        <v>133</v>
      </c>
      <c r="Q25" s="11" t="n">
        <v>172</v>
      </c>
      <c r="R25" s="11" t="n">
        <v>242</v>
      </c>
    </row>
    <row r="26">
      <c r="A26" t="inlineStr">
        <is>
          <t>26.3 km - 27.2 km</t>
        </is>
      </c>
      <c r="B26" s="11" t="n">
        <v>26.77458692178449</v>
      </c>
      <c r="C26" s="11" t="n">
        <v>243</v>
      </c>
      <c r="D26" s="11" t="n">
        <v>343</v>
      </c>
      <c r="E26" s="11" t="n">
        <v>107</v>
      </c>
      <c r="F26" s="11" t="n">
        <v>172</v>
      </c>
      <c r="G26" s="11" t="n">
        <v>78</v>
      </c>
      <c r="H26" s="11" t="n">
        <v>128</v>
      </c>
      <c r="I26" s="11" t="n">
        <v>173</v>
      </c>
      <c r="J26" s="11" t="n">
        <v>243</v>
      </c>
      <c r="K26" s="11" t="n">
        <v>256</v>
      </c>
      <c r="L26" s="11" t="n">
        <v>356</v>
      </c>
      <c r="M26" s="11" t="n">
        <v>112</v>
      </c>
      <c r="N26" s="11" t="n">
        <v>177</v>
      </c>
      <c r="O26" s="11" t="n">
        <v>83</v>
      </c>
      <c r="P26" s="11" t="n">
        <v>133</v>
      </c>
      <c r="Q26" s="11" t="n">
        <v>173</v>
      </c>
      <c r="R26" s="11" t="n">
        <v>243</v>
      </c>
    </row>
    <row r="27">
      <c r="A27" t="inlineStr">
        <is>
          <t>27.3 km - 28.2 km</t>
        </is>
      </c>
      <c r="B27" s="11" t="n">
        <v>27.69280257598514</v>
      </c>
      <c r="C27" s="11" t="n">
        <v>244</v>
      </c>
      <c r="D27" s="11" t="n">
        <v>344</v>
      </c>
      <c r="E27" s="11" t="n">
        <v>107</v>
      </c>
      <c r="F27" s="11" t="n">
        <v>172</v>
      </c>
      <c r="G27" s="11" t="n">
        <v>78</v>
      </c>
      <c r="H27" s="11" t="n">
        <v>128</v>
      </c>
      <c r="I27" s="11" t="n">
        <v>174</v>
      </c>
      <c r="J27" s="11" t="n">
        <v>244</v>
      </c>
      <c r="K27" s="11" t="n">
        <v>257</v>
      </c>
      <c r="L27" s="11" t="n">
        <v>357</v>
      </c>
      <c r="M27" s="11" t="n">
        <v>112</v>
      </c>
      <c r="N27" s="11" t="n">
        <v>177</v>
      </c>
      <c r="O27" s="11" t="n">
        <v>83</v>
      </c>
      <c r="P27" s="11" t="n">
        <v>133</v>
      </c>
      <c r="Q27" s="11" t="n">
        <v>174</v>
      </c>
      <c r="R27" s="11" t="n">
        <v>244</v>
      </c>
    </row>
    <row r="28">
      <c r="A28" t="inlineStr">
        <is>
          <t>28.3 km - 29.2 km</t>
        </is>
      </c>
      <c r="B28" s="11" t="n">
        <v>28.77435404168835</v>
      </c>
      <c r="C28" s="11" t="n">
        <v>245</v>
      </c>
      <c r="D28" s="11" t="n">
        <v>345</v>
      </c>
      <c r="E28" s="11" t="n">
        <v>107</v>
      </c>
      <c r="F28" s="11" t="n">
        <v>172</v>
      </c>
      <c r="G28" s="11" t="n">
        <v>78</v>
      </c>
      <c r="H28" s="11" t="n">
        <v>128</v>
      </c>
      <c r="I28" s="11" t="n">
        <v>175</v>
      </c>
      <c r="J28" s="11" t="n">
        <v>245</v>
      </c>
      <c r="K28" s="11" t="n">
        <v>258</v>
      </c>
      <c r="L28" s="11" t="n">
        <v>358</v>
      </c>
      <c r="M28" s="11" t="n">
        <v>112</v>
      </c>
      <c r="N28" s="11" t="n">
        <v>177</v>
      </c>
      <c r="O28" s="11" t="n">
        <v>83</v>
      </c>
      <c r="P28" s="11" t="n">
        <v>133</v>
      </c>
      <c r="Q28" s="11" t="n">
        <v>175</v>
      </c>
      <c r="R28" s="11" t="n">
        <v>245</v>
      </c>
    </row>
    <row r="29">
      <c r="A29" t="inlineStr">
        <is>
          <t>29.3 km - 30.2 km</t>
        </is>
      </c>
      <c r="B29" s="11" t="n">
        <v>29.7615698699182</v>
      </c>
      <c r="C29" s="11" t="n">
        <v>246</v>
      </c>
      <c r="D29" s="11" t="n">
        <v>346</v>
      </c>
      <c r="E29" s="11" t="n">
        <v>107</v>
      </c>
      <c r="F29" s="11" t="n">
        <v>172</v>
      </c>
      <c r="G29" s="11" t="n">
        <v>78</v>
      </c>
      <c r="H29" s="11" t="n">
        <v>128</v>
      </c>
      <c r="I29" s="11" t="n">
        <v>176</v>
      </c>
      <c r="J29" s="11" t="n">
        <v>246</v>
      </c>
      <c r="K29" s="11" t="n">
        <v>259</v>
      </c>
      <c r="L29" s="11" t="n">
        <v>359</v>
      </c>
      <c r="M29" s="11" t="n">
        <v>112</v>
      </c>
      <c r="N29" s="11" t="n">
        <v>177</v>
      </c>
      <c r="O29" s="11" t="n">
        <v>83</v>
      </c>
      <c r="P29" s="11" t="n">
        <v>133</v>
      </c>
      <c r="Q29" s="11" t="n">
        <v>176</v>
      </c>
      <c r="R29" s="11" t="n">
        <v>246</v>
      </c>
    </row>
    <row r="30">
      <c r="A30" t="inlineStr">
        <is>
          <t>30.3 km - 31.2 km</t>
        </is>
      </c>
      <c r="B30" s="11" t="n">
        <v>30.74582530005287</v>
      </c>
      <c r="C30" s="11" t="n">
        <v>247</v>
      </c>
      <c r="D30" s="11" t="n">
        <v>347</v>
      </c>
      <c r="E30" s="11" t="n">
        <v>107</v>
      </c>
      <c r="F30" s="11" t="n">
        <v>172</v>
      </c>
      <c r="G30" s="11" t="n">
        <v>78</v>
      </c>
      <c r="H30" s="11" t="n">
        <v>128</v>
      </c>
      <c r="I30" s="11" t="n">
        <v>177</v>
      </c>
      <c r="J30" s="11" t="n">
        <v>247</v>
      </c>
      <c r="K30" s="11" t="n">
        <v>260</v>
      </c>
      <c r="L30" s="11" t="n">
        <v>360</v>
      </c>
      <c r="M30" s="11" t="n">
        <v>112</v>
      </c>
      <c r="N30" s="11" t="n">
        <v>177</v>
      </c>
      <c r="O30" s="11" t="n">
        <v>83</v>
      </c>
      <c r="P30" s="11" t="n">
        <v>133</v>
      </c>
      <c r="Q30" s="11" t="n">
        <v>177</v>
      </c>
      <c r="R30" s="11" t="n">
        <v>247</v>
      </c>
    </row>
    <row r="31">
      <c r="A31" t="inlineStr">
        <is>
          <t>31.3 km - 32.2 km</t>
        </is>
      </c>
      <c r="B31" s="11" t="n">
        <v>31.69173024343507</v>
      </c>
      <c r="C31" s="11" t="n">
        <v>248</v>
      </c>
      <c r="D31" s="11" t="n">
        <v>348</v>
      </c>
      <c r="E31" s="11" t="n">
        <v>107</v>
      </c>
      <c r="F31" s="11" t="n">
        <v>172</v>
      </c>
      <c r="G31" s="11" t="n">
        <v>78</v>
      </c>
      <c r="H31" s="11" t="n">
        <v>128</v>
      </c>
      <c r="I31" s="11" t="n">
        <v>178</v>
      </c>
      <c r="J31" s="11" t="n">
        <v>248</v>
      </c>
      <c r="K31" s="11" t="n">
        <v>261</v>
      </c>
      <c r="L31" s="11" t="n">
        <v>361</v>
      </c>
      <c r="M31" s="11" t="n">
        <v>112</v>
      </c>
      <c r="N31" s="11" t="n">
        <v>177</v>
      </c>
      <c r="O31" s="11" t="n">
        <v>83</v>
      </c>
      <c r="P31" s="11" t="n">
        <v>133</v>
      </c>
      <c r="Q31" s="11" t="n">
        <v>178</v>
      </c>
      <c r="R31" s="11" t="n">
        <v>248</v>
      </c>
    </row>
    <row r="32">
      <c r="A32" t="inlineStr">
        <is>
          <t>32.3 km - 33.2 km</t>
        </is>
      </c>
      <c r="B32" s="11" t="n">
        <v>32.73050903183201</v>
      </c>
      <c r="C32" s="11" t="n">
        <v>249</v>
      </c>
      <c r="D32" s="11" t="n">
        <v>349</v>
      </c>
      <c r="E32" s="11" t="n">
        <v>107</v>
      </c>
      <c r="F32" s="11" t="n">
        <v>172</v>
      </c>
      <c r="G32" s="11" t="n">
        <v>78</v>
      </c>
      <c r="H32" s="11" t="n">
        <v>128</v>
      </c>
      <c r="I32" s="11" t="n">
        <v>179</v>
      </c>
      <c r="J32" s="11" t="n">
        <v>249</v>
      </c>
      <c r="K32" s="11" t="n">
        <v>262</v>
      </c>
      <c r="L32" s="11" t="n">
        <v>362</v>
      </c>
      <c r="M32" s="11" t="n">
        <v>112</v>
      </c>
      <c r="N32" s="11" t="n">
        <v>177</v>
      </c>
      <c r="O32" s="11" t="n">
        <v>83</v>
      </c>
      <c r="P32" s="11" t="n">
        <v>133</v>
      </c>
      <c r="Q32" s="11" t="n">
        <v>179</v>
      </c>
      <c r="R32" s="11" t="n">
        <v>249</v>
      </c>
    </row>
    <row r="33">
      <c r="A33" t="inlineStr">
        <is>
          <t>33.3 km - 34.2 km</t>
        </is>
      </c>
      <c r="B33" s="11" t="n">
        <v>33.72491013302152</v>
      </c>
      <c r="C33" s="11" t="n">
        <v>250</v>
      </c>
      <c r="D33" s="11" t="n">
        <v>350</v>
      </c>
      <c r="E33" s="11" t="n">
        <v>107</v>
      </c>
      <c r="F33" s="11" t="n">
        <v>172</v>
      </c>
      <c r="G33" s="11" t="n">
        <v>78</v>
      </c>
      <c r="H33" s="11" t="n">
        <v>128</v>
      </c>
      <c r="I33" s="11" t="n">
        <v>180</v>
      </c>
      <c r="J33" s="11" t="n">
        <v>250</v>
      </c>
      <c r="K33" s="11" t="n">
        <v>263</v>
      </c>
      <c r="L33" s="11" t="n">
        <v>363</v>
      </c>
      <c r="M33" s="11" t="n">
        <v>112</v>
      </c>
      <c r="N33" s="11" t="n">
        <v>177</v>
      </c>
      <c r="O33" s="11" t="n">
        <v>83</v>
      </c>
      <c r="P33" s="11" t="n">
        <v>133</v>
      </c>
      <c r="Q33" s="11" t="n">
        <v>180</v>
      </c>
      <c r="R33" s="11" t="n">
        <v>250</v>
      </c>
    </row>
    <row r="34">
      <c r="A34" t="inlineStr">
        <is>
          <t>34.3 km - 35.2 km</t>
        </is>
      </c>
      <c r="B34" s="11" t="n">
        <v>34.77884284711025</v>
      </c>
      <c r="C34" s="11" t="n">
        <v>251</v>
      </c>
      <c r="D34" s="11" t="n">
        <v>351</v>
      </c>
      <c r="E34" s="11" t="n">
        <v>107</v>
      </c>
      <c r="F34" s="11" t="n">
        <v>172</v>
      </c>
      <c r="G34" s="11" t="n">
        <v>78</v>
      </c>
      <c r="H34" s="11" t="n">
        <v>128</v>
      </c>
      <c r="I34" s="11" t="n">
        <v>181</v>
      </c>
      <c r="J34" s="11" t="n">
        <v>251</v>
      </c>
      <c r="K34" s="11" t="n">
        <v>264</v>
      </c>
      <c r="L34" s="11" t="n">
        <v>364</v>
      </c>
      <c r="M34" s="11" t="n">
        <v>112</v>
      </c>
      <c r="N34" s="11" t="n">
        <v>177</v>
      </c>
      <c r="O34" s="11" t="n">
        <v>83</v>
      </c>
      <c r="P34" s="11" t="n">
        <v>133</v>
      </c>
      <c r="Q34" s="11" t="n">
        <v>181</v>
      </c>
      <c r="R34" s="11" t="n">
        <v>251</v>
      </c>
    </row>
    <row r="35">
      <c r="A35" t="inlineStr">
        <is>
          <t>35.3 km - 36.2 km</t>
        </is>
      </c>
      <c r="B35" s="11" t="n">
        <v>35.73625347077075</v>
      </c>
      <c r="C35" s="11" t="n">
        <v>252</v>
      </c>
      <c r="D35" s="11" t="n">
        <v>352</v>
      </c>
      <c r="E35" s="11" t="n">
        <v>107</v>
      </c>
      <c r="F35" s="11" t="n">
        <v>172</v>
      </c>
      <c r="G35" s="11" t="n">
        <v>78</v>
      </c>
      <c r="H35" s="11" t="n">
        <v>128</v>
      </c>
      <c r="I35" s="11" t="n">
        <v>182</v>
      </c>
      <c r="J35" s="11" t="n">
        <v>252</v>
      </c>
      <c r="K35" s="11" t="n">
        <v>265</v>
      </c>
      <c r="L35" s="11" t="n">
        <v>365</v>
      </c>
      <c r="M35" s="11" t="n">
        <v>112</v>
      </c>
      <c r="N35" s="11" t="n">
        <v>177</v>
      </c>
      <c r="O35" s="11" t="n">
        <v>83</v>
      </c>
      <c r="P35" s="11" t="n">
        <v>133</v>
      </c>
      <c r="Q35" s="11" t="n">
        <v>182</v>
      </c>
      <c r="R35" s="11" t="n">
        <v>252</v>
      </c>
    </row>
    <row r="36">
      <c r="A36" t="inlineStr">
        <is>
          <t>36.3 km - 37.2 km</t>
        </is>
      </c>
      <c r="B36" s="11" t="n">
        <v>36.73194204155963</v>
      </c>
      <c r="C36" s="11" t="n">
        <v>253</v>
      </c>
      <c r="D36" s="11" t="n">
        <v>353</v>
      </c>
      <c r="E36" s="11" t="n">
        <v>107</v>
      </c>
      <c r="F36" s="11" t="n">
        <v>172</v>
      </c>
      <c r="G36" s="11" t="n">
        <v>78</v>
      </c>
      <c r="H36" s="11" t="n">
        <v>128</v>
      </c>
      <c r="I36" s="11" t="n">
        <v>183</v>
      </c>
      <c r="J36" s="11" t="n">
        <v>253</v>
      </c>
      <c r="K36" s="11" t="n">
        <v>266</v>
      </c>
      <c r="L36" s="11" t="n">
        <v>366</v>
      </c>
      <c r="M36" s="11" t="n">
        <v>112</v>
      </c>
      <c r="N36" s="11" t="n">
        <v>177</v>
      </c>
      <c r="O36" s="11" t="n">
        <v>83</v>
      </c>
      <c r="P36" s="11" t="n">
        <v>133</v>
      </c>
      <c r="Q36" s="11" t="n">
        <v>183</v>
      </c>
      <c r="R36" s="11" t="n">
        <v>253</v>
      </c>
    </row>
    <row r="37">
      <c r="A37" t="inlineStr">
        <is>
          <t>37.3 km - 38.2 km</t>
        </is>
      </c>
      <c r="B37" s="11" t="n">
        <v>37.83613310487334</v>
      </c>
      <c r="C37" s="11" t="n">
        <v>254</v>
      </c>
      <c r="D37" s="11" t="n">
        <v>354</v>
      </c>
      <c r="E37" s="11" t="n">
        <v>107</v>
      </c>
      <c r="F37" s="11" t="n">
        <v>172</v>
      </c>
      <c r="G37" s="11" t="n">
        <v>78</v>
      </c>
      <c r="H37" s="11" t="n">
        <v>128</v>
      </c>
      <c r="I37" s="11" t="n">
        <v>184</v>
      </c>
      <c r="J37" s="11" t="n">
        <v>254</v>
      </c>
      <c r="K37" s="11" t="n">
        <v>267</v>
      </c>
      <c r="L37" s="11" t="n">
        <v>367</v>
      </c>
      <c r="M37" s="11" t="n">
        <v>112</v>
      </c>
      <c r="N37" s="11" t="n">
        <v>177</v>
      </c>
      <c r="O37" s="11" t="n">
        <v>83</v>
      </c>
      <c r="P37" s="11" t="n">
        <v>133</v>
      </c>
      <c r="Q37" s="11" t="n">
        <v>184</v>
      </c>
      <c r="R37" s="11" t="n">
        <v>254</v>
      </c>
    </row>
    <row r="38">
      <c r="A38" t="inlineStr">
        <is>
          <t>38.3 km - 39.2 km</t>
        </is>
      </c>
      <c r="B38" s="11" t="n">
        <v>38.81846917534959</v>
      </c>
      <c r="C38" s="11" t="n">
        <v>255</v>
      </c>
      <c r="D38" s="11" t="n">
        <v>355</v>
      </c>
      <c r="E38" s="11" t="n">
        <v>107</v>
      </c>
      <c r="F38" s="11" t="n">
        <v>172</v>
      </c>
      <c r="G38" s="11" t="n">
        <v>78</v>
      </c>
      <c r="H38" s="11" t="n">
        <v>128</v>
      </c>
      <c r="I38" s="11" t="n">
        <v>185</v>
      </c>
      <c r="J38" s="11" t="n">
        <v>255</v>
      </c>
      <c r="K38" s="11" t="n">
        <v>268</v>
      </c>
      <c r="L38" s="11" t="n">
        <v>368</v>
      </c>
      <c r="M38" s="11" t="n">
        <v>112</v>
      </c>
      <c r="N38" s="11" t="n">
        <v>177</v>
      </c>
      <c r="O38" s="11" t="n">
        <v>83</v>
      </c>
      <c r="P38" s="11" t="n">
        <v>133</v>
      </c>
      <c r="Q38" s="11" t="n">
        <v>185</v>
      </c>
      <c r="R38" s="11" t="n">
        <v>255</v>
      </c>
    </row>
    <row r="39">
      <c r="A39" t="inlineStr">
        <is>
          <t>39.3 km - 40.2 km</t>
        </is>
      </c>
      <c r="B39" s="11" t="n">
        <v>39.81154029268443</v>
      </c>
      <c r="C39" s="11" t="n">
        <v>256</v>
      </c>
      <c r="D39" s="11" t="n">
        <v>356</v>
      </c>
      <c r="E39" s="11" t="n">
        <v>107</v>
      </c>
      <c r="F39" s="11" t="n">
        <v>172</v>
      </c>
      <c r="G39" s="11" t="n">
        <v>78</v>
      </c>
      <c r="H39" s="11" t="n">
        <v>128</v>
      </c>
      <c r="I39" s="11" t="n">
        <v>186</v>
      </c>
      <c r="J39" s="11" t="n">
        <v>256</v>
      </c>
      <c r="K39" s="11" t="n">
        <v>269</v>
      </c>
      <c r="L39" s="11" t="n">
        <v>369</v>
      </c>
      <c r="M39" s="11" t="n">
        <v>112</v>
      </c>
      <c r="N39" s="11" t="n">
        <v>177</v>
      </c>
      <c r="O39" s="11" t="n">
        <v>83</v>
      </c>
      <c r="P39" s="11" t="n">
        <v>133</v>
      </c>
      <c r="Q39" s="11" t="n">
        <v>186</v>
      </c>
      <c r="R39" s="11" t="n">
        <v>256</v>
      </c>
    </row>
    <row r="40">
      <c r="A40" t="inlineStr">
        <is>
          <t>Over 40.2 km</t>
        </is>
      </c>
      <c r="B40" s="11" t="n">
        <v>49.32468495292225</v>
      </c>
      <c r="C40" s="11" t="n">
        <v>257</v>
      </c>
      <c r="D40" s="11" t="n">
        <v>357</v>
      </c>
      <c r="E40" s="11" t="n">
        <v>107</v>
      </c>
      <c r="F40" s="11" t="n">
        <v>172</v>
      </c>
      <c r="G40" s="11" t="n">
        <v>78</v>
      </c>
      <c r="H40" s="11" t="n">
        <v>128</v>
      </c>
      <c r="I40" s="11" t="n">
        <v>187</v>
      </c>
      <c r="J40" s="11" t="n">
        <v>257</v>
      </c>
      <c r="K40" s="11" t="n">
        <v>270</v>
      </c>
      <c r="L40" s="11" t="n">
        <v>370</v>
      </c>
      <c r="M40" s="11" t="n">
        <v>112</v>
      </c>
      <c r="N40" s="11" t="n">
        <v>177</v>
      </c>
      <c r="O40" s="11" t="n">
        <v>83</v>
      </c>
      <c r="P40" s="11" t="n">
        <v>133</v>
      </c>
      <c r="Q40" s="11" t="n">
        <v>187</v>
      </c>
      <c r="R40" s="11" t="n">
        <v>257</v>
      </c>
    </row>
    <row r="42">
      <c r="A42" s="1" t="inlineStr">
        <is>
          <t>Feeder (flat)</t>
        </is>
      </c>
      <c r="C42" s="11" t="n">
        <v>128</v>
      </c>
      <c r="E42" s="11" t="n">
        <v>69</v>
      </c>
      <c r="G42" s="11" t="n">
        <v>52</v>
      </c>
      <c r="I42" s="11" t="n">
        <v>78</v>
      </c>
      <c r="K42" s="11" t="n">
        <v>140</v>
      </c>
      <c r="M42" s="11" t="n">
        <v>74</v>
      </c>
      <c r="O42" s="11" t="n">
        <v>57</v>
      </c>
      <c r="Q42" s="11" t="n">
        <v>78</v>
      </c>
    </row>
    <row r="44">
      <c r="A44" t="inlineStr">
        <is>
          <t>Cents per ride, card fares. Concession tables stop at 'Over 7.2 km'; longer bands repeat that fare. Source: PTC FRE 2025 and FRE 2026 annexes (Sources sheet).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Band</t>
        </is>
      </c>
      <c r="B1" s="3" t="inlineStr">
        <is>
          <t>Trunk rides / yr</t>
        </is>
      </c>
      <c r="C1" s="3" t="inlineStr">
        <is>
          <t>Feeder rides / yr</t>
        </is>
      </c>
      <c r="D1" s="3" t="inlineStr">
        <is>
          <t>Express rides / yr</t>
        </is>
      </c>
      <c r="E1" s="3" t="inlineStr">
        <is>
          <t>All</t>
        </is>
      </c>
    </row>
    <row r="2">
      <c r="A2" t="inlineStr">
        <is>
          <t>Up to 3.2 km</t>
        </is>
      </c>
      <c r="B2" s="4" t="n">
        <v>806186403.6020751</v>
      </c>
      <c r="C2" s="4" t="n">
        <v>186355275.2711462</v>
      </c>
      <c r="D2" s="4" t="n">
        <v>259933.9861660079</v>
      </c>
      <c r="E2" s="12">
        <f>SUM(B2:D2)</f>
        <v/>
      </c>
    </row>
    <row r="3">
      <c r="A3" t="inlineStr">
        <is>
          <t>3.3 km - 4.2 km</t>
        </is>
      </c>
      <c r="B3" s="4" t="n">
        <v>116953669.6897233</v>
      </c>
      <c r="C3" s="4" t="n">
        <v>0</v>
      </c>
      <c r="D3" s="4" t="n">
        <v>139874.2173913044</v>
      </c>
      <c r="E3" s="12">
        <f>SUM(B3:D3)</f>
        <v/>
      </c>
    </row>
    <row r="4">
      <c r="A4" t="inlineStr">
        <is>
          <t>4.3 km - 5.2 km</t>
        </is>
      </c>
      <c r="B4" s="4" t="n">
        <v>75105201.5687747</v>
      </c>
      <c r="C4" s="4" t="n">
        <v>0</v>
      </c>
      <c r="D4" s="4" t="n">
        <v>121220.9700592885</v>
      </c>
      <c r="E4" s="12">
        <f>SUM(B4:D4)</f>
        <v/>
      </c>
    </row>
    <row r="5">
      <c r="A5" t="inlineStr">
        <is>
          <t>5.3 km - 6.2 km</t>
        </is>
      </c>
      <c r="B5" s="4" t="n">
        <v>52445883.23409091</v>
      </c>
      <c r="C5" s="4" t="n">
        <v>0</v>
      </c>
      <c r="D5" s="4" t="n">
        <v>119022.5223320158</v>
      </c>
      <c r="E5" s="12">
        <f>SUM(B5:D5)</f>
        <v/>
      </c>
    </row>
    <row r="6">
      <c r="A6" t="inlineStr">
        <is>
          <t>6.3 km - 7.2 km</t>
        </is>
      </c>
      <c r="B6" s="4" t="n">
        <v>38814733.26630435</v>
      </c>
      <c r="C6" s="4" t="n">
        <v>0</v>
      </c>
      <c r="D6" s="4" t="n">
        <v>62107.33458498024</v>
      </c>
      <c r="E6" s="12">
        <f>SUM(B6:D6)</f>
        <v/>
      </c>
    </row>
    <row r="7">
      <c r="A7" t="inlineStr">
        <is>
          <t>7.3 km - 8.2 km</t>
        </is>
      </c>
      <c r="B7" s="4" t="n">
        <v>31662388.53567194</v>
      </c>
      <c r="C7" s="4" t="n">
        <v>0</v>
      </c>
      <c r="D7" s="4" t="n">
        <v>56103.66235177866</v>
      </c>
      <c r="E7" s="12">
        <f>SUM(B7:D7)</f>
        <v/>
      </c>
    </row>
    <row r="8">
      <c r="A8" t="inlineStr">
        <is>
          <t>8.3 km - 9.2 km</t>
        </is>
      </c>
      <c r="B8" s="4" t="n">
        <v>25312289.43428854</v>
      </c>
      <c r="C8" s="4" t="n">
        <v>0</v>
      </c>
      <c r="D8" s="4" t="n">
        <v>39456.75899209486</v>
      </c>
      <c r="E8" s="12">
        <f>SUM(B8:D8)</f>
        <v/>
      </c>
    </row>
    <row r="9">
      <c r="A9" t="inlineStr">
        <is>
          <t>9.3 km - 10.2 km</t>
        </is>
      </c>
      <c r="B9" s="4" t="n">
        <v>20045192.4993083</v>
      </c>
      <c r="C9" s="4" t="n">
        <v>0</v>
      </c>
      <c r="D9" s="4" t="n">
        <v>33516.74169960474</v>
      </c>
      <c r="E9" s="12">
        <f>SUM(B9:D9)</f>
        <v/>
      </c>
    </row>
    <row r="10">
      <c r="A10" t="inlineStr">
        <is>
          <t>10.3 km - 11.2 km</t>
        </is>
      </c>
      <c r="B10" s="4" t="n">
        <v>15977469.09851779</v>
      </c>
      <c r="C10" s="4" t="n">
        <v>0</v>
      </c>
      <c r="D10" s="4" t="n">
        <v>51859.56907114624</v>
      </c>
      <c r="E10" s="12">
        <f>SUM(B10:D10)</f>
        <v/>
      </c>
    </row>
    <row r="11">
      <c r="A11" t="inlineStr">
        <is>
          <t>11.3 km - 12.2 km</t>
        </is>
      </c>
      <c r="B11" s="4" t="n">
        <v>13346303.54160079</v>
      </c>
      <c r="C11" s="4" t="n">
        <v>0</v>
      </c>
      <c r="D11" s="4" t="n">
        <v>136200.9577075099</v>
      </c>
      <c r="E11" s="12">
        <f>SUM(B11:D11)</f>
        <v/>
      </c>
    </row>
    <row r="12">
      <c r="A12" t="inlineStr">
        <is>
          <t>12.3 km - 13.2 km</t>
        </is>
      </c>
      <c r="B12" s="4" t="n">
        <v>11036759.52104743</v>
      </c>
      <c r="C12" s="4" t="n">
        <v>0</v>
      </c>
      <c r="D12" s="4" t="n">
        <v>203276.0590909091</v>
      </c>
      <c r="E12" s="12">
        <f>SUM(B12:D12)</f>
        <v/>
      </c>
    </row>
    <row r="13">
      <c r="A13" t="inlineStr">
        <is>
          <t>13.3 km - 14.2 km</t>
        </is>
      </c>
      <c r="B13" s="4" t="n">
        <v>10072067.9965415</v>
      </c>
      <c r="C13" s="4" t="n">
        <v>0</v>
      </c>
      <c r="D13" s="4" t="n">
        <v>256619.3529644269</v>
      </c>
      <c r="E13" s="12">
        <f>SUM(B13:D13)</f>
        <v/>
      </c>
    </row>
    <row r="14">
      <c r="A14" t="inlineStr">
        <is>
          <t>14.3 km - 15.2 km</t>
        </is>
      </c>
      <c r="B14" s="4" t="n">
        <v>7633005.382806324</v>
      </c>
      <c r="C14" s="4" t="n">
        <v>0</v>
      </c>
      <c r="D14" s="4" t="n">
        <v>350485.0021739131</v>
      </c>
      <c r="E14" s="12">
        <f>SUM(B14:D14)</f>
        <v/>
      </c>
    </row>
    <row r="15">
      <c r="A15" t="inlineStr">
        <is>
          <t>15.3 km - 16.2 km</t>
        </is>
      </c>
      <c r="B15" s="4" t="n">
        <v>5435195.045256917</v>
      </c>
      <c r="C15" s="4" t="n">
        <v>0</v>
      </c>
      <c r="D15" s="4" t="n">
        <v>310074.1313241107</v>
      </c>
      <c r="E15" s="12">
        <f>SUM(B15:D15)</f>
        <v/>
      </c>
    </row>
    <row r="16">
      <c r="A16" t="inlineStr">
        <is>
          <t>16.3 km - 17.2 km</t>
        </is>
      </c>
      <c r="B16" s="4" t="n">
        <v>5583670.18527668</v>
      </c>
      <c r="C16" s="4" t="n">
        <v>0</v>
      </c>
      <c r="D16" s="4" t="n">
        <v>279267.4742094862</v>
      </c>
      <c r="E16" s="12">
        <f>SUM(B16:D16)</f>
        <v/>
      </c>
    </row>
    <row r="17">
      <c r="A17" t="inlineStr">
        <is>
          <t>17.3 km - 18.2 km</t>
        </is>
      </c>
      <c r="B17" s="4" t="n">
        <v>6377739.80701581</v>
      </c>
      <c r="C17" s="4" t="n">
        <v>0</v>
      </c>
      <c r="D17" s="4" t="n">
        <v>252464.2492094861</v>
      </c>
      <c r="E17" s="12">
        <f>SUM(B17:D17)</f>
        <v/>
      </c>
    </row>
    <row r="18">
      <c r="A18" t="inlineStr">
        <is>
          <t>18.3 km - 19.2 km</t>
        </is>
      </c>
      <c r="B18" s="4" t="n">
        <v>4448863.373814229</v>
      </c>
      <c r="C18" s="4" t="n">
        <v>0</v>
      </c>
      <c r="D18" s="4" t="n">
        <v>232589.4242094862</v>
      </c>
      <c r="E18" s="12">
        <f>SUM(B18:D18)</f>
        <v/>
      </c>
    </row>
    <row r="19">
      <c r="A19" t="inlineStr">
        <is>
          <t>19.3 km - 20.2 km</t>
        </is>
      </c>
      <c r="B19" s="4" t="n">
        <v>2803832.252371542</v>
      </c>
      <c r="C19" s="4" t="n">
        <v>0</v>
      </c>
      <c r="D19" s="4" t="n">
        <v>222763.0340909091</v>
      </c>
      <c r="E19" s="12">
        <f>SUM(B19:D19)</f>
        <v/>
      </c>
    </row>
    <row r="20">
      <c r="A20" t="inlineStr">
        <is>
          <t>20.3 km - 21.2 km</t>
        </is>
      </c>
      <c r="B20" s="4" t="n">
        <v>2871546.988438736</v>
      </c>
      <c r="C20" s="4" t="n">
        <v>0</v>
      </c>
      <c r="D20" s="4" t="n">
        <v>185721.4924901186</v>
      </c>
      <c r="E20" s="12">
        <f>SUM(B20:D20)</f>
        <v/>
      </c>
    </row>
    <row r="21">
      <c r="A21" t="inlineStr">
        <is>
          <t>21.3 km - 22.2 km</t>
        </is>
      </c>
      <c r="B21" s="4" t="n">
        <v>2038057.796146245</v>
      </c>
      <c r="C21" s="4" t="n">
        <v>0</v>
      </c>
      <c r="D21" s="4" t="n">
        <v>141669.7052371542</v>
      </c>
      <c r="E21" s="12">
        <f>SUM(B21:D21)</f>
        <v/>
      </c>
    </row>
    <row r="22">
      <c r="A22" t="inlineStr">
        <is>
          <t>22.3 km - 23.2 km</t>
        </is>
      </c>
      <c r="B22" s="4" t="n">
        <v>1402312.495849802</v>
      </c>
      <c r="C22" s="4" t="n">
        <v>0</v>
      </c>
      <c r="D22" s="4" t="n">
        <v>115450.1225296443</v>
      </c>
      <c r="E22" s="12">
        <f>SUM(B22:D22)</f>
        <v/>
      </c>
    </row>
    <row r="23">
      <c r="A23" t="inlineStr">
        <is>
          <t>23.3 km - 24.2 km</t>
        </is>
      </c>
      <c r="B23" s="4" t="n">
        <v>1094743.290612648</v>
      </c>
      <c r="C23" s="4" t="n">
        <v>0</v>
      </c>
      <c r="D23" s="4" t="n">
        <v>90696.78300395256</v>
      </c>
      <c r="E23" s="12">
        <f>SUM(B23:D23)</f>
        <v/>
      </c>
    </row>
    <row r="24">
      <c r="A24" t="inlineStr">
        <is>
          <t>24.3 km - 25.2 km</t>
        </is>
      </c>
      <c r="B24" s="4" t="n">
        <v>1190018.191897233</v>
      </c>
      <c r="C24" s="4" t="n">
        <v>0</v>
      </c>
      <c r="D24" s="4" t="n">
        <v>67789.50513833993</v>
      </c>
      <c r="E24" s="12">
        <f>SUM(B24:D24)</f>
        <v/>
      </c>
    </row>
    <row r="25">
      <c r="A25" t="inlineStr">
        <is>
          <t>25.3 km - 26.2 km</t>
        </is>
      </c>
      <c r="B25" s="4" t="n">
        <v>1300297.499703557</v>
      </c>
      <c r="C25" s="4" t="n">
        <v>0</v>
      </c>
      <c r="D25" s="4" t="n">
        <v>61412.05247035573</v>
      </c>
      <c r="E25" s="12">
        <f>SUM(B25:D25)</f>
        <v/>
      </c>
    </row>
    <row r="26">
      <c r="A26" t="inlineStr">
        <is>
          <t>26.3 km - 27.2 km</t>
        </is>
      </c>
      <c r="B26" s="4" t="n">
        <v>735605.324110672</v>
      </c>
      <c r="C26" s="4" t="n">
        <v>0</v>
      </c>
      <c r="D26" s="4" t="n">
        <v>40926.86650197628</v>
      </c>
      <c r="E26" s="12">
        <f>SUM(B26:D26)</f>
        <v/>
      </c>
    </row>
    <row r="27">
      <c r="A27" t="inlineStr">
        <is>
          <t>27.3 km - 28.2 km</t>
        </is>
      </c>
      <c r="B27" s="4" t="n">
        <v>606464.6550395257</v>
      </c>
      <c r="C27" s="4" t="n">
        <v>0</v>
      </c>
      <c r="D27" s="4" t="n">
        <v>22378.60286561265</v>
      </c>
      <c r="E27" s="12">
        <f>SUM(B27:D27)</f>
        <v/>
      </c>
    </row>
    <row r="28">
      <c r="A28" t="inlineStr">
        <is>
          <t>28.3 km - 29.2 km</t>
        </is>
      </c>
      <c r="B28" s="4" t="n">
        <v>436744.2089920949</v>
      </c>
      <c r="C28" s="4" t="n">
        <v>0</v>
      </c>
      <c r="D28" s="4" t="n">
        <v>14551.95059288538</v>
      </c>
      <c r="E28" s="12">
        <f>SUM(B28:D28)</f>
        <v/>
      </c>
    </row>
    <row r="29">
      <c r="A29" t="inlineStr">
        <is>
          <t>29.3 km - 30.2 km</t>
        </is>
      </c>
      <c r="B29" s="4" t="n">
        <v>253682.4472332016</v>
      </c>
      <c r="C29" s="4" t="n">
        <v>0</v>
      </c>
      <c r="D29" s="4" t="n">
        <v>10290.1493083004</v>
      </c>
      <c r="E29" s="12">
        <f>SUM(B29:D29)</f>
        <v/>
      </c>
    </row>
    <row r="30">
      <c r="A30" t="inlineStr">
        <is>
          <t>30.3 km - 31.2 km</t>
        </is>
      </c>
      <c r="B30" s="4" t="n">
        <v>188371.3994071146</v>
      </c>
      <c r="C30" s="4" t="n">
        <v>0</v>
      </c>
      <c r="D30" s="4" t="n">
        <v>5423.72509881423</v>
      </c>
      <c r="E30" s="12">
        <f>SUM(B30:D30)</f>
        <v/>
      </c>
    </row>
    <row r="31">
      <c r="A31" t="inlineStr">
        <is>
          <t>31.3 km - 32.2 km</t>
        </is>
      </c>
      <c r="B31" s="4" t="n">
        <v>116259.316403162</v>
      </c>
      <c r="C31" s="4" t="n">
        <v>0</v>
      </c>
      <c r="D31" s="4" t="n">
        <v>2647.543873517786</v>
      </c>
      <c r="E31" s="12">
        <f>SUM(B31:D31)</f>
        <v/>
      </c>
    </row>
    <row r="32">
      <c r="A32" t="inlineStr">
        <is>
          <t>32.3 km - 33.2 km</t>
        </is>
      </c>
      <c r="B32" s="4" t="n">
        <v>84874.27658102766</v>
      </c>
      <c r="C32" s="4" t="n">
        <v>0</v>
      </c>
      <c r="D32" s="4" t="n">
        <v>578.3717391304348</v>
      </c>
      <c r="E32" s="12">
        <f>SUM(B32:D32)</f>
        <v/>
      </c>
    </row>
    <row r="33">
      <c r="A33" t="inlineStr">
        <is>
          <t>33.3 km - 34.2 km</t>
        </is>
      </c>
      <c r="B33" s="4" t="n">
        <v>48458.45266798419</v>
      </c>
      <c r="C33" s="4" t="n">
        <v>0</v>
      </c>
      <c r="D33" s="4" t="n">
        <v>135.5089920948617</v>
      </c>
      <c r="E33" s="12">
        <f>SUM(B33:D33)</f>
        <v/>
      </c>
    </row>
    <row r="34">
      <c r="A34" t="inlineStr">
        <is>
          <t>34.3 km - 35.2 km</t>
        </is>
      </c>
      <c r="B34" s="4" t="n">
        <v>50213.00899209486</v>
      </c>
      <c r="C34" s="4" t="n">
        <v>0</v>
      </c>
      <c r="D34" s="4" t="n">
        <v>64.65790513833993</v>
      </c>
      <c r="E34" s="12">
        <f>SUM(B34:D34)</f>
        <v/>
      </c>
    </row>
    <row r="35">
      <c r="A35" t="inlineStr">
        <is>
          <t>35.3 km - 36.2 km</t>
        </is>
      </c>
      <c r="B35" s="4" t="n">
        <v>44124.2790513834</v>
      </c>
      <c r="C35" s="4" t="n">
        <v>0</v>
      </c>
      <c r="D35" s="4" t="n">
        <v>101.795652173913</v>
      </c>
      <c r="E35" s="12">
        <f>SUM(B35:D35)</f>
        <v/>
      </c>
    </row>
    <row r="36">
      <c r="A36" t="inlineStr">
        <is>
          <t>36.3 km - 37.2 km</t>
        </is>
      </c>
      <c r="B36" s="4" t="n">
        <v>42290.77756916996</v>
      </c>
      <c r="C36" s="4" t="n">
        <v>0</v>
      </c>
      <c r="D36" s="4" t="n">
        <v>205.8256916996048</v>
      </c>
      <c r="E36" s="12">
        <f>SUM(B36:D36)</f>
        <v/>
      </c>
    </row>
    <row r="37">
      <c r="A37" t="inlineStr">
        <is>
          <t>37.3 km - 38.2 km</t>
        </is>
      </c>
      <c r="B37" s="4" t="n">
        <v>32031.56729249012</v>
      </c>
      <c r="C37" s="4" t="n">
        <v>0</v>
      </c>
      <c r="D37" s="4" t="n">
        <v>502.4371541501976</v>
      </c>
      <c r="E37" s="12">
        <f>SUM(B37:D37)</f>
        <v/>
      </c>
    </row>
    <row r="38">
      <c r="A38" t="inlineStr">
        <is>
          <t>38.3 km - 39.2 km</t>
        </is>
      </c>
      <c r="B38" s="4" t="n">
        <v>2953.830434782609</v>
      </c>
      <c r="C38" s="4" t="n">
        <v>0</v>
      </c>
      <c r="D38" s="4" t="n">
        <v>831.5524703557312</v>
      </c>
      <c r="E38" s="12">
        <f>SUM(B38:D38)</f>
        <v/>
      </c>
    </row>
    <row r="39">
      <c r="A39" t="inlineStr">
        <is>
          <t>39.3 km - 40.2 km</t>
        </is>
      </c>
      <c r="B39" s="4" t="n">
        <v>3071.743083003953</v>
      </c>
      <c r="C39" s="4" t="n">
        <v>0</v>
      </c>
      <c r="D39" s="4" t="n">
        <v>499.0814229249012</v>
      </c>
      <c r="E39" s="12">
        <f>SUM(B39:D39)</f>
        <v/>
      </c>
    </row>
    <row r="40">
      <c r="A40" t="inlineStr">
        <is>
          <t>Over 40.2 km</t>
        </is>
      </c>
      <c r="B40" s="4" t="n">
        <v>11423.66442687747</v>
      </c>
      <c r="C40" s="4" t="n">
        <v>0</v>
      </c>
      <c r="D40" s="4" t="n">
        <v>3164.138735177866</v>
      </c>
      <c r="E40" s="12">
        <f>SUM(B40:D40)</f>
        <v/>
      </c>
    </row>
    <row r="41">
      <c r="A41" s="1" t="inlineStr">
        <is>
          <t>Total</t>
        </is>
      </c>
      <c r="B41" s="12">
        <f>SUM(B2:B40)</f>
        <v/>
      </c>
      <c r="C41" s="12">
        <f>SUM(C2:C40)</f>
        <v/>
      </c>
      <c r="D41" s="12">
        <f>SUM(D2:D40)</f>
        <v/>
      </c>
      <c r="E41" s="12">
        <f>SUM(E2:E40)</f>
        <v/>
      </c>
    </row>
    <row r="43">
      <c r="A43" t="inlineStr">
        <is>
          <t>Annual rides = mean of July and August 2026 rides per day by day type x 2026 day counts (251 weekdays, 114 weekend days and holidays). Fare km = along-route distance on the cheapest service serving the stop pair.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8" customWidth="1" min="8" max="8"/>
    <col width="12" customWidth="1" min="9" max="9"/>
    <col width="18" customWidth="1" min="10" max="10"/>
  </cols>
  <sheetData>
    <row r="1">
      <c r="A1" s="3" t="inlineStr">
        <is>
          <t>Band</t>
        </is>
      </c>
      <c r="B1" s="3" t="inlineStr">
        <is>
          <t>Blended trunk fare now (c)</t>
        </is>
      </c>
      <c r="C1" s="3" t="inlineStr">
        <is>
          <t>Blended express fare now (c)</t>
        </is>
      </c>
      <c r="D1" s="3" t="inlineStr">
        <is>
          <t>Revenue now (S$)</t>
        </is>
      </c>
      <c r="E1" s="3" t="inlineStr">
        <is>
          <t>Adult-fare revenue now (S$)</t>
        </is>
      </c>
      <c r="F1" s="3" t="inlineStr">
        <is>
          <t>Blended trunk fare Dec 2026 (c)</t>
        </is>
      </c>
      <c r="G1" s="3" t="inlineStr">
        <is>
          <t>Blended express fare Dec 2026 (c)</t>
        </is>
      </c>
      <c r="H1" s="3" t="inlineStr">
        <is>
          <t>Revenue Dec 2026 (S$)</t>
        </is>
      </c>
      <c r="I1" s="3" t="inlineStr">
        <is>
          <t>Adult trunk fare now (c)</t>
        </is>
      </c>
      <c r="J1" s="3" t="inlineStr">
        <is>
          <t>Revenue with the concession test (S$)</t>
        </is>
      </c>
    </row>
    <row r="2">
      <c r="A2" t="inlineStr">
        <is>
          <t>Up to 3.2 km</t>
        </is>
      </c>
      <c r="B2">
        <f>share_adult*Fares!C2+share_senior*Fares!E2+share_student*Fares!G2+share_workfare*Fares!I2</f>
        <v/>
      </c>
      <c r="C2">
        <f>share_adult*Fares!D2+share_senior*Fares!F2+share_student*Fares!H2+share_workfare*Fares!J2</f>
        <v/>
      </c>
      <c r="D2" s="12">
        <f>(Rides!B2*B2+Rides!C2*(share_adult*Fares!$C$42+share_senior*Fares!$E$42+share_student*Fares!$G$42+share_workfare*Fares!$I$42)+Rides!D2*C2)/100</f>
        <v/>
      </c>
      <c r="E2" s="12">
        <f>(Rides!B2*Fares!C2+Rides!C2*Fares!$C$42+Rides!D2*Fares!D2)/100</f>
        <v/>
      </c>
      <c r="F2">
        <f>share_adult*Fares!K2+share_senior*Fares!M2+share_student*Fares!O2+share_workfare*Fares!Q2</f>
        <v/>
      </c>
      <c r="G2">
        <f>share_adult*Fares!L2+share_senior*Fares!N2+share_student*Fares!P2+share_workfare*Fares!R2</f>
        <v/>
      </c>
      <c r="H2" s="12">
        <f>(Rides!B2*F2+Rides!C2*(share_adult*Fares!$K$42+share_senior*Fares!$M$42+share_student*Fares!$O$42+share_workfare*Fares!$Q$42)+Rides!D2*G2)/100</f>
        <v/>
      </c>
      <c r="I2">
        <f>Fares!C2</f>
        <v/>
      </c>
      <c r="J2" s="12">
        <f>(Rides!B2*(share_adult*Fares!C2+share_senior*Fares!E2*(1+conc_change)+share_student*Fares!G2+share_workfare*Fares!I2)+Rides!C2*(share_adult*Fares!$C$42+share_senior*Fares!$E$42*(1+conc_change)+share_student*Fares!$G$42+share_workfare*Fares!$I$42)+Rides!D2*(share_adult*Fares!D2+share_senior*Fares!F2*(1+conc_change)+share_student*Fares!H2+share_workfare*Fares!J2))/100</f>
        <v/>
      </c>
    </row>
    <row r="3">
      <c r="A3" t="inlineStr">
        <is>
          <t>3.3 km - 4.2 km</t>
        </is>
      </c>
      <c r="B3">
        <f>share_adult*Fares!C3+share_senior*Fares!E3+share_student*Fares!G3+share_workfare*Fares!I3</f>
        <v/>
      </c>
      <c r="C3">
        <f>share_adult*Fares!D3+share_senior*Fares!F3+share_student*Fares!H3+share_workfare*Fares!J3</f>
        <v/>
      </c>
      <c r="D3" s="12">
        <f>(Rides!B3*B3+Rides!C3*0+Rides!D3*C3)/100</f>
        <v/>
      </c>
      <c r="E3" s="12">
        <f>(Rides!B3*Fares!C3+Rides!C3*0+Rides!D3*Fares!D3)/100</f>
        <v/>
      </c>
      <c r="F3">
        <f>share_adult*Fares!K3+share_senior*Fares!M3+share_student*Fares!O3+share_workfare*Fares!Q3</f>
        <v/>
      </c>
      <c r="G3">
        <f>share_adult*Fares!L3+share_senior*Fares!N3+share_student*Fares!P3+share_workfare*Fares!R3</f>
        <v/>
      </c>
      <c r="H3" s="12">
        <f>(Rides!B3*F3+Rides!C3*0+Rides!D3*G3)/100</f>
        <v/>
      </c>
      <c r="I3">
        <f>Fares!C3</f>
        <v/>
      </c>
      <c r="J3" s="12">
        <f>(Rides!B3*(share_adult*Fares!C3+share_senior*Fares!E3*(1+conc_change)+share_student*Fares!G3+share_workfare*Fares!I3)+Rides!C3*0+Rides!D3*(share_adult*Fares!D3+share_senior*Fares!F3*(1+conc_change)+share_student*Fares!H3+share_workfare*Fares!J3))/100</f>
        <v/>
      </c>
    </row>
    <row r="4">
      <c r="A4" t="inlineStr">
        <is>
          <t>4.3 km - 5.2 km</t>
        </is>
      </c>
      <c r="B4">
        <f>share_adult*Fares!C4+share_senior*Fares!E4+share_student*Fares!G4+share_workfare*Fares!I4</f>
        <v/>
      </c>
      <c r="C4">
        <f>share_adult*Fares!D4+share_senior*Fares!F4+share_student*Fares!H4+share_workfare*Fares!J4</f>
        <v/>
      </c>
      <c r="D4" s="12">
        <f>(Rides!B4*B4+Rides!C4*0+Rides!D4*C4)/100</f>
        <v/>
      </c>
      <c r="E4" s="12">
        <f>(Rides!B4*Fares!C4+Rides!C4*0+Rides!D4*Fares!D4)/100</f>
        <v/>
      </c>
      <c r="F4">
        <f>share_adult*Fares!K4+share_senior*Fares!M4+share_student*Fares!O4+share_workfare*Fares!Q4</f>
        <v/>
      </c>
      <c r="G4">
        <f>share_adult*Fares!L4+share_senior*Fares!N4+share_student*Fares!P4+share_workfare*Fares!R4</f>
        <v/>
      </c>
      <c r="H4" s="12">
        <f>(Rides!B4*F4+Rides!C4*0+Rides!D4*G4)/100</f>
        <v/>
      </c>
      <c r="I4">
        <f>Fares!C4</f>
        <v/>
      </c>
      <c r="J4" s="12">
        <f>(Rides!B4*(share_adult*Fares!C4+share_senior*Fares!E4*(1+conc_change)+share_student*Fares!G4+share_workfare*Fares!I4)+Rides!C4*0+Rides!D4*(share_adult*Fares!D4+share_senior*Fares!F4*(1+conc_change)+share_student*Fares!H4+share_workfare*Fares!J4))/100</f>
        <v/>
      </c>
    </row>
    <row r="5">
      <c r="A5" t="inlineStr">
        <is>
          <t>5.3 km - 6.2 km</t>
        </is>
      </c>
      <c r="B5">
        <f>share_adult*Fares!C5+share_senior*Fares!E5+share_student*Fares!G5+share_workfare*Fares!I5</f>
        <v/>
      </c>
      <c r="C5">
        <f>share_adult*Fares!D5+share_senior*Fares!F5+share_student*Fares!H5+share_workfare*Fares!J5</f>
        <v/>
      </c>
      <c r="D5" s="12">
        <f>(Rides!B5*B5+Rides!C5*0+Rides!D5*C5)/100</f>
        <v/>
      </c>
      <c r="E5" s="12">
        <f>(Rides!B5*Fares!C5+Rides!C5*0+Rides!D5*Fares!D5)/100</f>
        <v/>
      </c>
      <c r="F5">
        <f>share_adult*Fares!K5+share_senior*Fares!M5+share_student*Fares!O5+share_workfare*Fares!Q5</f>
        <v/>
      </c>
      <c r="G5">
        <f>share_adult*Fares!L5+share_senior*Fares!N5+share_student*Fares!P5+share_workfare*Fares!R5</f>
        <v/>
      </c>
      <c r="H5" s="12">
        <f>(Rides!B5*F5+Rides!C5*0+Rides!D5*G5)/100</f>
        <v/>
      </c>
      <c r="I5">
        <f>Fares!C5</f>
        <v/>
      </c>
      <c r="J5" s="12">
        <f>(Rides!B5*(share_adult*Fares!C5+share_senior*Fares!E5*(1+conc_change)+share_student*Fares!G5+share_workfare*Fares!I5)+Rides!C5*0+Rides!D5*(share_adult*Fares!D5+share_senior*Fares!F5*(1+conc_change)+share_student*Fares!H5+share_workfare*Fares!J5))/100</f>
        <v/>
      </c>
    </row>
    <row r="6">
      <c r="A6" t="inlineStr">
        <is>
          <t>6.3 km - 7.2 km</t>
        </is>
      </c>
      <c r="B6">
        <f>share_adult*Fares!C6+share_senior*Fares!E6+share_student*Fares!G6+share_workfare*Fares!I6</f>
        <v/>
      </c>
      <c r="C6">
        <f>share_adult*Fares!D6+share_senior*Fares!F6+share_student*Fares!H6+share_workfare*Fares!J6</f>
        <v/>
      </c>
      <c r="D6" s="12">
        <f>(Rides!B6*B6+Rides!C6*0+Rides!D6*C6)/100</f>
        <v/>
      </c>
      <c r="E6" s="12">
        <f>(Rides!B6*Fares!C6+Rides!C6*0+Rides!D6*Fares!D6)/100</f>
        <v/>
      </c>
      <c r="F6">
        <f>share_adult*Fares!K6+share_senior*Fares!M6+share_student*Fares!O6+share_workfare*Fares!Q6</f>
        <v/>
      </c>
      <c r="G6">
        <f>share_adult*Fares!L6+share_senior*Fares!N6+share_student*Fares!P6+share_workfare*Fares!R6</f>
        <v/>
      </c>
      <c r="H6" s="12">
        <f>(Rides!B6*F6+Rides!C6*0+Rides!D6*G6)/100</f>
        <v/>
      </c>
      <c r="I6">
        <f>Fares!C6</f>
        <v/>
      </c>
      <c r="J6" s="12">
        <f>(Rides!B6*(share_adult*Fares!C6+share_senior*Fares!E6*(1+conc_change)+share_student*Fares!G6+share_workfare*Fares!I6)+Rides!C6*0+Rides!D6*(share_adult*Fares!D6+share_senior*Fares!F6*(1+conc_change)+share_student*Fares!H6+share_workfare*Fares!J6))/100</f>
        <v/>
      </c>
    </row>
    <row r="7">
      <c r="A7" t="inlineStr">
        <is>
          <t>7.3 km - 8.2 km</t>
        </is>
      </c>
      <c r="B7">
        <f>share_adult*Fares!C7+share_senior*Fares!E7+share_student*Fares!G7+share_workfare*Fares!I7</f>
        <v/>
      </c>
      <c r="C7">
        <f>share_adult*Fares!D7+share_senior*Fares!F7+share_student*Fares!H7+share_workfare*Fares!J7</f>
        <v/>
      </c>
      <c r="D7" s="12">
        <f>(Rides!B7*B7+Rides!C7*0+Rides!D7*C7)/100</f>
        <v/>
      </c>
      <c r="E7" s="12">
        <f>(Rides!B7*Fares!C7+Rides!C7*0+Rides!D7*Fares!D7)/100</f>
        <v/>
      </c>
      <c r="F7">
        <f>share_adult*Fares!K7+share_senior*Fares!M7+share_student*Fares!O7+share_workfare*Fares!Q7</f>
        <v/>
      </c>
      <c r="G7">
        <f>share_adult*Fares!L7+share_senior*Fares!N7+share_student*Fares!P7+share_workfare*Fares!R7</f>
        <v/>
      </c>
      <c r="H7" s="12">
        <f>(Rides!B7*F7+Rides!C7*0+Rides!D7*G7)/100</f>
        <v/>
      </c>
      <c r="I7">
        <f>Fares!C7</f>
        <v/>
      </c>
      <c r="J7" s="12">
        <f>(Rides!B7*(share_adult*Fares!C7+share_senior*Fares!E7*(1+conc_change)+share_student*Fares!G7+share_workfare*Fares!I7)+Rides!C7*0+Rides!D7*(share_adult*Fares!D7+share_senior*Fares!F7*(1+conc_change)+share_student*Fares!H7+share_workfare*Fares!J7))/100</f>
        <v/>
      </c>
    </row>
    <row r="8">
      <c r="A8" t="inlineStr">
        <is>
          <t>8.3 km - 9.2 km</t>
        </is>
      </c>
      <c r="B8">
        <f>share_adult*Fares!C8+share_senior*Fares!E8+share_student*Fares!G8+share_workfare*Fares!I8</f>
        <v/>
      </c>
      <c r="C8">
        <f>share_adult*Fares!D8+share_senior*Fares!F8+share_student*Fares!H8+share_workfare*Fares!J8</f>
        <v/>
      </c>
      <c r="D8" s="12">
        <f>(Rides!B8*B8+Rides!C8*0+Rides!D8*C8)/100</f>
        <v/>
      </c>
      <c r="E8" s="12">
        <f>(Rides!B8*Fares!C8+Rides!C8*0+Rides!D8*Fares!D8)/100</f>
        <v/>
      </c>
      <c r="F8">
        <f>share_adult*Fares!K8+share_senior*Fares!M8+share_student*Fares!O8+share_workfare*Fares!Q8</f>
        <v/>
      </c>
      <c r="G8">
        <f>share_adult*Fares!L8+share_senior*Fares!N8+share_student*Fares!P8+share_workfare*Fares!R8</f>
        <v/>
      </c>
      <c r="H8" s="12">
        <f>(Rides!B8*F8+Rides!C8*0+Rides!D8*G8)/100</f>
        <v/>
      </c>
      <c r="I8">
        <f>Fares!C8</f>
        <v/>
      </c>
      <c r="J8" s="12">
        <f>(Rides!B8*(share_adult*Fares!C8+share_senior*Fares!E8*(1+conc_change)+share_student*Fares!G8+share_workfare*Fares!I8)+Rides!C8*0+Rides!D8*(share_adult*Fares!D8+share_senior*Fares!F8*(1+conc_change)+share_student*Fares!H8+share_workfare*Fares!J8))/100</f>
        <v/>
      </c>
    </row>
    <row r="9">
      <c r="A9" t="inlineStr">
        <is>
          <t>9.3 km - 10.2 km</t>
        </is>
      </c>
      <c r="B9">
        <f>share_adult*Fares!C9+share_senior*Fares!E9+share_student*Fares!G9+share_workfare*Fares!I9</f>
        <v/>
      </c>
      <c r="C9">
        <f>share_adult*Fares!D9+share_senior*Fares!F9+share_student*Fares!H9+share_workfare*Fares!J9</f>
        <v/>
      </c>
      <c r="D9" s="12">
        <f>(Rides!B9*B9+Rides!C9*0+Rides!D9*C9)/100</f>
        <v/>
      </c>
      <c r="E9" s="12">
        <f>(Rides!B9*Fares!C9+Rides!C9*0+Rides!D9*Fares!D9)/100</f>
        <v/>
      </c>
      <c r="F9">
        <f>share_adult*Fares!K9+share_senior*Fares!M9+share_student*Fares!O9+share_workfare*Fares!Q9</f>
        <v/>
      </c>
      <c r="G9">
        <f>share_adult*Fares!L9+share_senior*Fares!N9+share_student*Fares!P9+share_workfare*Fares!R9</f>
        <v/>
      </c>
      <c r="H9" s="12">
        <f>(Rides!B9*F9+Rides!C9*0+Rides!D9*G9)/100</f>
        <v/>
      </c>
      <c r="I9">
        <f>Fares!C9</f>
        <v/>
      </c>
      <c r="J9" s="12">
        <f>(Rides!B9*(share_adult*Fares!C9+share_senior*Fares!E9*(1+conc_change)+share_student*Fares!G9+share_workfare*Fares!I9)+Rides!C9*0+Rides!D9*(share_adult*Fares!D9+share_senior*Fares!F9*(1+conc_change)+share_student*Fares!H9+share_workfare*Fares!J9))/100</f>
        <v/>
      </c>
    </row>
    <row r="10">
      <c r="A10" t="inlineStr">
        <is>
          <t>10.3 km - 11.2 km</t>
        </is>
      </c>
      <c r="B10">
        <f>share_adult*Fares!C10+share_senior*Fares!E10+share_student*Fares!G10+share_workfare*Fares!I10</f>
        <v/>
      </c>
      <c r="C10">
        <f>share_adult*Fares!D10+share_senior*Fares!F10+share_student*Fares!H10+share_workfare*Fares!J10</f>
        <v/>
      </c>
      <c r="D10" s="12">
        <f>(Rides!B10*B10+Rides!C10*0+Rides!D10*C10)/100</f>
        <v/>
      </c>
      <c r="E10" s="12">
        <f>(Rides!B10*Fares!C10+Rides!C10*0+Rides!D10*Fares!D10)/100</f>
        <v/>
      </c>
      <c r="F10">
        <f>share_adult*Fares!K10+share_senior*Fares!M10+share_student*Fares!O10+share_workfare*Fares!Q10</f>
        <v/>
      </c>
      <c r="G10">
        <f>share_adult*Fares!L10+share_senior*Fares!N10+share_student*Fares!P10+share_workfare*Fares!R10</f>
        <v/>
      </c>
      <c r="H10" s="12">
        <f>(Rides!B10*F10+Rides!C10*0+Rides!D10*G10)/100</f>
        <v/>
      </c>
      <c r="I10">
        <f>Fares!C10</f>
        <v/>
      </c>
      <c r="J10" s="12">
        <f>(Rides!B10*(share_adult*Fares!C10+share_senior*Fares!E10*(1+conc_change)+share_student*Fares!G10+share_workfare*Fares!I10)+Rides!C10*0+Rides!D10*(share_adult*Fares!D10+share_senior*Fares!F10*(1+conc_change)+share_student*Fares!H10+share_workfare*Fares!J10))/100</f>
        <v/>
      </c>
    </row>
    <row r="11">
      <c r="A11" t="inlineStr">
        <is>
          <t>11.3 km - 12.2 km</t>
        </is>
      </c>
      <c r="B11">
        <f>share_adult*Fares!C11+share_senior*Fares!E11+share_student*Fares!G11+share_workfare*Fares!I11</f>
        <v/>
      </c>
      <c r="C11">
        <f>share_adult*Fares!D11+share_senior*Fares!F11+share_student*Fares!H11+share_workfare*Fares!J11</f>
        <v/>
      </c>
      <c r="D11" s="12">
        <f>(Rides!B11*B11+Rides!C11*0+Rides!D11*C11)/100</f>
        <v/>
      </c>
      <c r="E11" s="12">
        <f>(Rides!B11*Fares!C11+Rides!C11*0+Rides!D11*Fares!D11)/100</f>
        <v/>
      </c>
      <c r="F11">
        <f>share_adult*Fares!K11+share_senior*Fares!M11+share_student*Fares!O11+share_workfare*Fares!Q11</f>
        <v/>
      </c>
      <c r="G11">
        <f>share_adult*Fares!L11+share_senior*Fares!N11+share_student*Fares!P11+share_workfare*Fares!R11</f>
        <v/>
      </c>
      <c r="H11" s="12">
        <f>(Rides!B11*F11+Rides!C11*0+Rides!D11*G11)/100</f>
        <v/>
      </c>
      <c r="I11">
        <f>Fares!C11</f>
        <v/>
      </c>
      <c r="J11" s="12">
        <f>(Rides!B11*(share_adult*Fares!C11+share_senior*Fares!E11*(1+conc_change)+share_student*Fares!G11+share_workfare*Fares!I11)+Rides!C11*0+Rides!D11*(share_adult*Fares!D11+share_senior*Fares!F11*(1+conc_change)+share_student*Fares!H11+share_workfare*Fares!J11))/100</f>
        <v/>
      </c>
    </row>
    <row r="12">
      <c r="A12" t="inlineStr">
        <is>
          <t>12.3 km - 13.2 km</t>
        </is>
      </c>
      <c r="B12">
        <f>share_adult*Fares!C12+share_senior*Fares!E12+share_student*Fares!G12+share_workfare*Fares!I12</f>
        <v/>
      </c>
      <c r="C12">
        <f>share_adult*Fares!D12+share_senior*Fares!F12+share_student*Fares!H12+share_workfare*Fares!J12</f>
        <v/>
      </c>
      <c r="D12" s="12">
        <f>(Rides!B12*B12+Rides!C12*0+Rides!D12*C12)/100</f>
        <v/>
      </c>
      <c r="E12" s="12">
        <f>(Rides!B12*Fares!C12+Rides!C12*0+Rides!D12*Fares!D12)/100</f>
        <v/>
      </c>
      <c r="F12">
        <f>share_adult*Fares!K12+share_senior*Fares!M12+share_student*Fares!O12+share_workfare*Fares!Q12</f>
        <v/>
      </c>
      <c r="G12">
        <f>share_adult*Fares!L12+share_senior*Fares!N12+share_student*Fares!P12+share_workfare*Fares!R12</f>
        <v/>
      </c>
      <c r="H12" s="12">
        <f>(Rides!B12*F12+Rides!C12*0+Rides!D12*G12)/100</f>
        <v/>
      </c>
      <c r="I12">
        <f>Fares!C12</f>
        <v/>
      </c>
      <c r="J12" s="12">
        <f>(Rides!B12*(share_adult*Fares!C12+share_senior*Fares!E12*(1+conc_change)+share_student*Fares!G12+share_workfare*Fares!I12)+Rides!C12*0+Rides!D12*(share_adult*Fares!D12+share_senior*Fares!F12*(1+conc_change)+share_student*Fares!H12+share_workfare*Fares!J12))/100</f>
        <v/>
      </c>
    </row>
    <row r="13">
      <c r="A13" t="inlineStr">
        <is>
          <t>13.3 km - 14.2 km</t>
        </is>
      </c>
      <c r="B13">
        <f>share_adult*Fares!C13+share_senior*Fares!E13+share_student*Fares!G13+share_workfare*Fares!I13</f>
        <v/>
      </c>
      <c r="C13">
        <f>share_adult*Fares!D13+share_senior*Fares!F13+share_student*Fares!H13+share_workfare*Fares!J13</f>
        <v/>
      </c>
      <c r="D13" s="12">
        <f>(Rides!B13*B13+Rides!C13*0+Rides!D13*C13)/100</f>
        <v/>
      </c>
      <c r="E13" s="12">
        <f>(Rides!B13*Fares!C13+Rides!C13*0+Rides!D13*Fares!D13)/100</f>
        <v/>
      </c>
      <c r="F13">
        <f>share_adult*Fares!K13+share_senior*Fares!M13+share_student*Fares!O13+share_workfare*Fares!Q13</f>
        <v/>
      </c>
      <c r="G13">
        <f>share_adult*Fares!L13+share_senior*Fares!N13+share_student*Fares!P13+share_workfare*Fares!R13</f>
        <v/>
      </c>
      <c r="H13" s="12">
        <f>(Rides!B13*F13+Rides!C13*0+Rides!D13*G13)/100</f>
        <v/>
      </c>
      <c r="I13">
        <f>Fares!C13</f>
        <v/>
      </c>
      <c r="J13" s="12">
        <f>(Rides!B13*(share_adult*Fares!C13+share_senior*Fares!E13*(1+conc_change)+share_student*Fares!G13+share_workfare*Fares!I13)+Rides!C13*0+Rides!D13*(share_adult*Fares!D13+share_senior*Fares!F13*(1+conc_change)+share_student*Fares!H13+share_workfare*Fares!J13))/100</f>
        <v/>
      </c>
    </row>
    <row r="14">
      <c r="A14" t="inlineStr">
        <is>
          <t>14.3 km - 15.2 km</t>
        </is>
      </c>
      <c r="B14">
        <f>share_adult*Fares!C14+share_senior*Fares!E14+share_student*Fares!G14+share_workfare*Fares!I14</f>
        <v/>
      </c>
      <c r="C14">
        <f>share_adult*Fares!D14+share_senior*Fares!F14+share_student*Fares!H14+share_workfare*Fares!J14</f>
        <v/>
      </c>
      <c r="D14" s="12">
        <f>(Rides!B14*B14+Rides!C14*0+Rides!D14*C14)/100</f>
        <v/>
      </c>
      <c r="E14" s="12">
        <f>(Rides!B14*Fares!C14+Rides!C14*0+Rides!D14*Fares!D14)/100</f>
        <v/>
      </c>
      <c r="F14">
        <f>share_adult*Fares!K14+share_senior*Fares!M14+share_student*Fares!O14+share_workfare*Fares!Q14</f>
        <v/>
      </c>
      <c r="G14">
        <f>share_adult*Fares!L14+share_senior*Fares!N14+share_student*Fares!P14+share_workfare*Fares!R14</f>
        <v/>
      </c>
      <c r="H14" s="12">
        <f>(Rides!B14*F14+Rides!C14*0+Rides!D14*G14)/100</f>
        <v/>
      </c>
      <c r="I14">
        <f>Fares!C14</f>
        <v/>
      </c>
      <c r="J14" s="12">
        <f>(Rides!B14*(share_adult*Fares!C14+share_senior*Fares!E14*(1+conc_change)+share_student*Fares!G14+share_workfare*Fares!I14)+Rides!C14*0+Rides!D14*(share_adult*Fares!D14+share_senior*Fares!F14*(1+conc_change)+share_student*Fares!H14+share_workfare*Fares!J14))/100</f>
        <v/>
      </c>
    </row>
    <row r="15">
      <c r="A15" t="inlineStr">
        <is>
          <t>15.3 km - 16.2 km</t>
        </is>
      </c>
      <c r="B15">
        <f>share_adult*Fares!C15+share_senior*Fares!E15+share_student*Fares!G15+share_workfare*Fares!I15</f>
        <v/>
      </c>
      <c r="C15">
        <f>share_adult*Fares!D15+share_senior*Fares!F15+share_student*Fares!H15+share_workfare*Fares!J15</f>
        <v/>
      </c>
      <c r="D15" s="12">
        <f>(Rides!B15*B15+Rides!C15*0+Rides!D15*C15)/100</f>
        <v/>
      </c>
      <c r="E15" s="12">
        <f>(Rides!B15*Fares!C15+Rides!C15*0+Rides!D15*Fares!D15)/100</f>
        <v/>
      </c>
      <c r="F15">
        <f>share_adult*Fares!K15+share_senior*Fares!M15+share_student*Fares!O15+share_workfare*Fares!Q15</f>
        <v/>
      </c>
      <c r="G15">
        <f>share_adult*Fares!L15+share_senior*Fares!N15+share_student*Fares!P15+share_workfare*Fares!R15</f>
        <v/>
      </c>
      <c r="H15" s="12">
        <f>(Rides!B15*F15+Rides!C15*0+Rides!D15*G15)/100</f>
        <v/>
      </c>
      <c r="I15">
        <f>Fares!C15</f>
        <v/>
      </c>
      <c r="J15" s="12">
        <f>(Rides!B15*(share_adult*Fares!C15+share_senior*Fares!E15*(1+conc_change)+share_student*Fares!G15+share_workfare*Fares!I15)+Rides!C15*0+Rides!D15*(share_adult*Fares!D15+share_senior*Fares!F15*(1+conc_change)+share_student*Fares!H15+share_workfare*Fares!J15))/100</f>
        <v/>
      </c>
    </row>
    <row r="16">
      <c r="A16" t="inlineStr">
        <is>
          <t>16.3 km - 17.2 km</t>
        </is>
      </c>
      <c r="B16">
        <f>share_adult*Fares!C16+share_senior*Fares!E16+share_student*Fares!G16+share_workfare*Fares!I16</f>
        <v/>
      </c>
      <c r="C16">
        <f>share_adult*Fares!D16+share_senior*Fares!F16+share_student*Fares!H16+share_workfare*Fares!J16</f>
        <v/>
      </c>
      <c r="D16" s="12">
        <f>(Rides!B16*B16+Rides!C16*0+Rides!D16*C16)/100</f>
        <v/>
      </c>
      <c r="E16" s="12">
        <f>(Rides!B16*Fares!C16+Rides!C16*0+Rides!D16*Fares!D16)/100</f>
        <v/>
      </c>
      <c r="F16">
        <f>share_adult*Fares!K16+share_senior*Fares!M16+share_student*Fares!O16+share_workfare*Fares!Q16</f>
        <v/>
      </c>
      <c r="G16">
        <f>share_adult*Fares!L16+share_senior*Fares!N16+share_student*Fares!P16+share_workfare*Fares!R16</f>
        <v/>
      </c>
      <c r="H16" s="12">
        <f>(Rides!B16*F16+Rides!C16*0+Rides!D16*G16)/100</f>
        <v/>
      </c>
      <c r="I16">
        <f>Fares!C16</f>
        <v/>
      </c>
      <c r="J16" s="12">
        <f>(Rides!B16*(share_adult*Fares!C16+share_senior*Fares!E16*(1+conc_change)+share_student*Fares!G16+share_workfare*Fares!I16)+Rides!C16*0+Rides!D16*(share_adult*Fares!D16+share_senior*Fares!F16*(1+conc_change)+share_student*Fares!H16+share_workfare*Fares!J16))/100</f>
        <v/>
      </c>
    </row>
    <row r="17">
      <c r="A17" t="inlineStr">
        <is>
          <t>17.3 km - 18.2 km</t>
        </is>
      </c>
      <c r="B17">
        <f>share_adult*Fares!C17+share_senior*Fares!E17+share_student*Fares!G17+share_workfare*Fares!I17</f>
        <v/>
      </c>
      <c r="C17">
        <f>share_adult*Fares!D17+share_senior*Fares!F17+share_student*Fares!H17+share_workfare*Fares!J17</f>
        <v/>
      </c>
      <c r="D17" s="12">
        <f>(Rides!B17*B17+Rides!C17*0+Rides!D17*C17)/100</f>
        <v/>
      </c>
      <c r="E17" s="12">
        <f>(Rides!B17*Fares!C17+Rides!C17*0+Rides!D17*Fares!D17)/100</f>
        <v/>
      </c>
      <c r="F17">
        <f>share_adult*Fares!K17+share_senior*Fares!M17+share_student*Fares!O17+share_workfare*Fares!Q17</f>
        <v/>
      </c>
      <c r="G17">
        <f>share_adult*Fares!L17+share_senior*Fares!N17+share_student*Fares!P17+share_workfare*Fares!R17</f>
        <v/>
      </c>
      <c r="H17" s="12">
        <f>(Rides!B17*F17+Rides!C17*0+Rides!D17*G17)/100</f>
        <v/>
      </c>
      <c r="I17">
        <f>Fares!C17</f>
        <v/>
      </c>
      <c r="J17" s="12">
        <f>(Rides!B17*(share_adult*Fares!C17+share_senior*Fares!E17*(1+conc_change)+share_student*Fares!G17+share_workfare*Fares!I17)+Rides!C17*0+Rides!D17*(share_adult*Fares!D17+share_senior*Fares!F17*(1+conc_change)+share_student*Fares!H17+share_workfare*Fares!J17))/100</f>
        <v/>
      </c>
    </row>
    <row r="18">
      <c r="A18" t="inlineStr">
        <is>
          <t>18.3 km - 19.2 km</t>
        </is>
      </c>
      <c r="B18">
        <f>share_adult*Fares!C18+share_senior*Fares!E18+share_student*Fares!G18+share_workfare*Fares!I18</f>
        <v/>
      </c>
      <c r="C18">
        <f>share_adult*Fares!D18+share_senior*Fares!F18+share_student*Fares!H18+share_workfare*Fares!J18</f>
        <v/>
      </c>
      <c r="D18" s="12">
        <f>(Rides!B18*B18+Rides!C18*0+Rides!D18*C18)/100</f>
        <v/>
      </c>
      <c r="E18" s="12">
        <f>(Rides!B18*Fares!C18+Rides!C18*0+Rides!D18*Fares!D18)/100</f>
        <v/>
      </c>
      <c r="F18">
        <f>share_adult*Fares!K18+share_senior*Fares!M18+share_student*Fares!O18+share_workfare*Fares!Q18</f>
        <v/>
      </c>
      <c r="G18">
        <f>share_adult*Fares!L18+share_senior*Fares!N18+share_student*Fares!P18+share_workfare*Fares!R18</f>
        <v/>
      </c>
      <c r="H18" s="12">
        <f>(Rides!B18*F18+Rides!C18*0+Rides!D18*G18)/100</f>
        <v/>
      </c>
      <c r="I18">
        <f>Fares!C18</f>
        <v/>
      </c>
      <c r="J18" s="12">
        <f>(Rides!B18*(share_adult*Fares!C18+share_senior*Fares!E18*(1+conc_change)+share_student*Fares!G18+share_workfare*Fares!I18)+Rides!C18*0+Rides!D18*(share_adult*Fares!D18+share_senior*Fares!F18*(1+conc_change)+share_student*Fares!H18+share_workfare*Fares!J18))/100</f>
        <v/>
      </c>
    </row>
    <row r="19">
      <c r="A19" t="inlineStr">
        <is>
          <t>19.3 km - 20.2 km</t>
        </is>
      </c>
      <c r="B19">
        <f>share_adult*Fares!C19+share_senior*Fares!E19+share_student*Fares!G19+share_workfare*Fares!I19</f>
        <v/>
      </c>
      <c r="C19">
        <f>share_adult*Fares!D19+share_senior*Fares!F19+share_student*Fares!H19+share_workfare*Fares!J19</f>
        <v/>
      </c>
      <c r="D19" s="12">
        <f>(Rides!B19*B19+Rides!C19*0+Rides!D19*C19)/100</f>
        <v/>
      </c>
      <c r="E19" s="12">
        <f>(Rides!B19*Fares!C19+Rides!C19*0+Rides!D19*Fares!D19)/100</f>
        <v/>
      </c>
      <c r="F19">
        <f>share_adult*Fares!K19+share_senior*Fares!M19+share_student*Fares!O19+share_workfare*Fares!Q19</f>
        <v/>
      </c>
      <c r="G19">
        <f>share_adult*Fares!L19+share_senior*Fares!N19+share_student*Fares!P19+share_workfare*Fares!R19</f>
        <v/>
      </c>
      <c r="H19" s="12">
        <f>(Rides!B19*F19+Rides!C19*0+Rides!D19*G19)/100</f>
        <v/>
      </c>
      <c r="I19">
        <f>Fares!C19</f>
        <v/>
      </c>
      <c r="J19" s="12">
        <f>(Rides!B19*(share_adult*Fares!C19+share_senior*Fares!E19*(1+conc_change)+share_student*Fares!G19+share_workfare*Fares!I19)+Rides!C19*0+Rides!D19*(share_adult*Fares!D19+share_senior*Fares!F19*(1+conc_change)+share_student*Fares!H19+share_workfare*Fares!J19))/100</f>
        <v/>
      </c>
    </row>
    <row r="20">
      <c r="A20" t="inlineStr">
        <is>
          <t>20.3 km - 21.2 km</t>
        </is>
      </c>
      <c r="B20">
        <f>share_adult*Fares!C20+share_senior*Fares!E20+share_student*Fares!G20+share_workfare*Fares!I20</f>
        <v/>
      </c>
      <c r="C20">
        <f>share_adult*Fares!D20+share_senior*Fares!F20+share_student*Fares!H20+share_workfare*Fares!J20</f>
        <v/>
      </c>
      <c r="D20" s="12">
        <f>(Rides!B20*B20+Rides!C20*0+Rides!D20*C20)/100</f>
        <v/>
      </c>
      <c r="E20" s="12">
        <f>(Rides!B20*Fares!C20+Rides!C20*0+Rides!D20*Fares!D20)/100</f>
        <v/>
      </c>
      <c r="F20">
        <f>share_adult*Fares!K20+share_senior*Fares!M20+share_student*Fares!O20+share_workfare*Fares!Q20</f>
        <v/>
      </c>
      <c r="G20">
        <f>share_adult*Fares!L20+share_senior*Fares!N20+share_student*Fares!P20+share_workfare*Fares!R20</f>
        <v/>
      </c>
      <c r="H20" s="12">
        <f>(Rides!B20*F20+Rides!C20*0+Rides!D20*G20)/100</f>
        <v/>
      </c>
      <c r="I20">
        <f>Fares!C20</f>
        <v/>
      </c>
      <c r="J20" s="12">
        <f>(Rides!B20*(share_adult*Fares!C20+share_senior*Fares!E20*(1+conc_change)+share_student*Fares!G20+share_workfare*Fares!I20)+Rides!C20*0+Rides!D20*(share_adult*Fares!D20+share_senior*Fares!F20*(1+conc_change)+share_student*Fares!H20+share_workfare*Fares!J20))/100</f>
        <v/>
      </c>
    </row>
    <row r="21">
      <c r="A21" t="inlineStr">
        <is>
          <t>21.3 km - 22.2 km</t>
        </is>
      </c>
      <c r="B21">
        <f>share_adult*Fares!C21+share_senior*Fares!E21+share_student*Fares!G21+share_workfare*Fares!I21</f>
        <v/>
      </c>
      <c r="C21">
        <f>share_adult*Fares!D21+share_senior*Fares!F21+share_student*Fares!H21+share_workfare*Fares!J21</f>
        <v/>
      </c>
      <c r="D21" s="12">
        <f>(Rides!B21*B21+Rides!C21*0+Rides!D21*C21)/100</f>
        <v/>
      </c>
      <c r="E21" s="12">
        <f>(Rides!B21*Fares!C21+Rides!C21*0+Rides!D21*Fares!D21)/100</f>
        <v/>
      </c>
      <c r="F21">
        <f>share_adult*Fares!K21+share_senior*Fares!M21+share_student*Fares!O21+share_workfare*Fares!Q21</f>
        <v/>
      </c>
      <c r="G21">
        <f>share_adult*Fares!L21+share_senior*Fares!N21+share_student*Fares!P21+share_workfare*Fares!R21</f>
        <v/>
      </c>
      <c r="H21" s="12">
        <f>(Rides!B21*F21+Rides!C21*0+Rides!D21*G21)/100</f>
        <v/>
      </c>
      <c r="I21">
        <f>Fares!C21</f>
        <v/>
      </c>
      <c r="J21" s="12">
        <f>(Rides!B21*(share_adult*Fares!C21+share_senior*Fares!E21*(1+conc_change)+share_student*Fares!G21+share_workfare*Fares!I21)+Rides!C21*0+Rides!D21*(share_adult*Fares!D21+share_senior*Fares!F21*(1+conc_change)+share_student*Fares!H21+share_workfare*Fares!J21))/100</f>
        <v/>
      </c>
    </row>
    <row r="22">
      <c r="A22" t="inlineStr">
        <is>
          <t>22.3 km - 23.2 km</t>
        </is>
      </c>
      <c r="B22">
        <f>share_adult*Fares!C22+share_senior*Fares!E22+share_student*Fares!G22+share_workfare*Fares!I22</f>
        <v/>
      </c>
      <c r="C22">
        <f>share_adult*Fares!D22+share_senior*Fares!F22+share_student*Fares!H22+share_workfare*Fares!J22</f>
        <v/>
      </c>
      <c r="D22" s="12">
        <f>(Rides!B22*B22+Rides!C22*0+Rides!D22*C22)/100</f>
        <v/>
      </c>
      <c r="E22" s="12">
        <f>(Rides!B22*Fares!C22+Rides!C22*0+Rides!D22*Fares!D22)/100</f>
        <v/>
      </c>
      <c r="F22">
        <f>share_adult*Fares!K22+share_senior*Fares!M22+share_student*Fares!O22+share_workfare*Fares!Q22</f>
        <v/>
      </c>
      <c r="G22">
        <f>share_adult*Fares!L22+share_senior*Fares!N22+share_student*Fares!P22+share_workfare*Fares!R22</f>
        <v/>
      </c>
      <c r="H22" s="12">
        <f>(Rides!B22*F22+Rides!C22*0+Rides!D22*G22)/100</f>
        <v/>
      </c>
      <c r="I22">
        <f>Fares!C22</f>
        <v/>
      </c>
      <c r="J22" s="12">
        <f>(Rides!B22*(share_adult*Fares!C22+share_senior*Fares!E22*(1+conc_change)+share_student*Fares!G22+share_workfare*Fares!I22)+Rides!C22*0+Rides!D22*(share_adult*Fares!D22+share_senior*Fares!F22*(1+conc_change)+share_student*Fares!H22+share_workfare*Fares!J22))/100</f>
        <v/>
      </c>
    </row>
    <row r="23">
      <c r="A23" t="inlineStr">
        <is>
          <t>23.3 km - 24.2 km</t>
        </is>
      </c>
      <c r="B23">
        <f>share_adult*Fares!C23+share_senior*Fares!E23+share_student*Fares!G23+share_workfare*Fares!I23</f>
        <v/>
      </c>
      <c r="C23">
        <f>share_adult*Fares!D23+share_senior*Fares!F23+share_student*Fares!H23+share_workfare*Fares!J23</f>
        <v/>
      </c>
      <c r="D23" s="12">
        <f>(Rides!B23*B23+Rides!C23*0+Rides!D23*C23)/100</f>
        <v/>
      </c>
      <c r="E23" s="12">
        <f>(Rides!B23*Fares!C23+Rides!C23*0+Rides!D23*Fares!D23)/100</f>
        <v/>
      </c>
      <c r="F23">
        <f>share_adult*Fares!K23+share_senior*Fares!M23+share_student*Fares!O23+share_workfare*Fares!Q23</f>
        <v/>
      </c>
      <c r="G23">
        <f>share_adult*Fares!L23+share_senior*Fares!N23+share_student*Fares!P23+share_workfare*Fares!R23</f>
        <v/>
      </c>
      <c r="H23" s="12">
        <f>(Rides!B23*F23+Rides!C23*0+Rides!D23*G23)/100</f>
        <v/>
      </c>
      <c r="I23">
        <f>Fares!C23</f>
        <v/>
      </c>
      <c r="J23" s="12">
        <f>(Rides!B23*(share_adult*Fares!C23+share_senior*Fares!E23*(1+conc_change)+share_student*Fares!G23+share_workfare*Fares!I23)+Rides!C23*0+Rides!D23*(share_adult*Fares!D23+share_senior*Fares!F23*(1+conc_change)+share_student*Fares!H23+share_workfare*Fares!J23))/100</f>
        <v/>
      </c>
    </row>
    <row r="24">
      <c r="A24" t="inlineStr">
        <is>
          <t>24.3 km - 25.2 km</t>
        </is>
      </c>
      <c r="B24">
        <f>share_adult*Fares!C24+share_senior*Fares!E24+share_student*Fares!G24+share_workfare*Fares!I24</f>
        <v/>
      </c>
      <c r="C24">
        <f>share_adult*Fares!D24+share_senior*Fares!F24+share_student*Fares!H24+share_workfare*Fares!J24</f>
        <v/>
      </c>
      <c r="D24" s="12">
        <f>(Rides!B24*B24+Rides!C24*0+Rides!D24*C24)/100</f>
        <v/>
      </c>
      <c r="E24" s="12">
        <f>(Rides!B24*Fares!C24+Rides!C24*0+Rides!D24*Fares!D24)/100</f>
        <v/>
      </c>
      <c r="F24">
        <f>share_adult*Fares!K24+share_senior*Fares!M24+share_student*Fares!O24+share_workfare*Fares!Q24</f>
        <v/>
      </c>
      <c r="G24">
        <f>share_adult*Fares!L24+share_senior*Fares!N24+share_student*Fares!P24+share_workfare*Fares!R24</f>
        <v/>
      </c>
      <c r="H24" s="12">
        <f>(Rides!B24*F24+Rides!C24*0+Rides!D24*G24)/100</f>
        <v/>
      </c>
      <c r="I24">
        <f>Fares!C24</f>
        <v/>
      </c>
      <c r="J24" s="12">
        <f>(Rides!B24*(share_adult*Fares!C24+share_senior*Fares!E24*(1+conc_change)+share_student*Fares!G24+share_workfare*Fares!I24)+Rides!C24*0+Rides!D24*(share_adult*Fares!D24+share_senior*Fares!F24*(1+conc_change)+share_student*Fares!H24+share_workfare*Fares!J24))/100</f>
        <v/>
      </c>
    </row>
    <row r="25">
      <c r="A25" t="inlineStr">
        <is>
          <t>25.3 km - 26.2 km</t>
        </is>
      </c>
      <c r="B25">
        <f>share_adult*Fares!C25+share_senior*Fares!E25+share_student*Fares!G25+share_workfare*Fares!I25</f>
        <v/>
      </c>
      <c r="C25">
        <f>share_adult*Fares!D25+share_senior*Fares!F25+share_student*Fares!H25+share_workfare*Fares!J25</f>
        <v/>
      </c>
      <c r="D25" s="12">
        <f>(Rides!B25*B25+Rides!C25*0+Rides!D25*C25)/100</f>
        <v/>
      </c>
      <c r="E25" s="12">
        <f>(Rides!B25*Fares!C25+Rides!C25*0+Rides!D25*Fares!D25)/100</f>
        <v/>
      </c>
      <c r="F25">
        <f>share_adult*Fares!K25+share_senior*Fares!M25+share_student*Fares!O25+share_workfare*Fares!Q25</f>
        <v/>
      </c>
      <c r="G25">
        <f>share_adult*Fares!L25+share_senior*Fares!N25+share_student*Fares!P25+share_workfare*Fares!R25</f>
        <v/>
      </c>
      <c r="H25" s="12">
        <f>(Rides!B25*F25+Rides!C25*0+Rides!D25*G25)/100</f>
        <v/>
      </c>
      <c r="I25">
        <f>Fares!C25</f>
        <v/>
      </c>
      <c r="J25" s="12">
        <f>(Rides!B25*(share_adult*Fares!C25+share_senior*Fares!E25*(1+conc_change)+share_student*Fares!G25+share_workfare*Fares!I25)+Rides!C25*0+Rides!D25*(share_adult*Fares!D25+share_senior*Fares!F25*(1+conc_change)+share_student*Fares!H25+share_workfare*Fares!J25))/100</f>
        <v/>
      </c>
    </row>
    <row r="26">
      <c r="A26" t="inlineStr">
        <is>
          <t>26.3 km - 27.2 km</t>
        </is>
      </c>
      <c r="B26">
        <f>share_adult*Fares!C26+share_senior*Fares!E26+share_student*Fares!G26+share_workfare*Fares!I26</f>
        <v/>
      </c>
      <c r="C26">
        <f>share_adult*Fares!D26+share_senior*Fares!F26+share_student*Fares!H26+share_workfare*Fares!J26</f>
        <v/>
      </c>
      <c r="D26" s="12">
        <f>(Rides!B26*B26+Rides!C26*0+Rides!D26*C26)/100</f>
        <v/>
      </c>
      <c r="E26" s="12">
        <f>(Rides!B26*Fares!C26+Rides!C26*0+Rides!D26*Fares!D26)/100</f>
        <v/>
      </c>
      <c r="F26">
        <f>share_adult*Fares!K26+share_senior*Fares!M26+share_student*Fares!O26+share_workfare*Fares!Q26</f>
        <v/>
      </c>
      <c r="G26">
        <f>share_adult*Fares!L26+share_senior*Fares!N26+share_student*Fares!P26+share_workfare*Fares!R26</f>
        <v/>
      </c>
      <c r="H26" s="12">
        <f>(Rides!B26*F26+Rides!C26*0+Rides!D26*G26)/100</f>
        <v/>
      </c>
      <c r="I26">
        <f>Fares!C26</f>
        <v/>
      </c>
      <c r="J26" s="12">
        <f>(Rides!B26*(share_adult*Fares!C26+share_senior*Fares!E26*(1+conc_change)+share_student*Fares!G26+share_workfare*Fares!I26)+Rides!C26*0+Rides!D26*(share_adult*Fares!D26+share_senior*Fares!F26*(1+conc_change)+share_student*Fares!H26+share_workfare*Fares!J26))/100</f>
        <v/>
      </c>
    </row>
    <row r="27">
      <c r="A27" t="inlineStr">
        <is>
          <t>27.3 km - 28.2 km</t>
        </is>
      </c>
      <c r="B27">
        <f>share_adult*Fares!C27+share_senior*Fares!E27+share_student*Fares!G27+share_workfare*Fares!I27</f>
        <v/>
      </c>
      <c r="C27">
        <f>share_adult*Fares!D27+share_senior*Fares!F27+share_student*Fares!H27+share_workfare*Fares!J27</f>
        <v/>
      </c>
      <c r="D27" s="12">
        <f>(Rides!B27*B27+Rides!C27*0+Rides!D27*C27)/100</f>
        <v/>
      </c>
      <c r="E27" s="12">
        <f>(Rides!B27*Fares!C27+Rides!C27*0+Rides!D27*Fares!D27)/100</f>
        <v/>
      </c>
      <c r="F27">
        <f>share_adult*Fares!K27+share_senior*Fares!M27+share_student*Fares!O27+share_workfare*Fares!Q27</f>
        <v/>
      </c>
      <c r="G27">
        <f>share_adult*Fares!L27+share_senior*Fares!N27+share_student*Fares!P27+share_workfare*Fares!R27</f>
        <v/>
      </c>
      <c r="H27" s="12">
        <f>(Rides!B27*F27+Rides!C27*0+Rides!D27*G27)/100</f>
        <v/>
      </c>
      <c r="I27">
        <f>Fares!C27</f>
        <v/>
      </c>
      <c r="J27" s="12">
        <f>(Rides!B27*(share_adult*Fares!C27+share_senior*Fares!E27*(1+conc_change)+share_student*Fares!G27+share_workfare*Fares!I27)+Rides!C27*0+Rides!D27*(share_adult*Fares!D27+share_senior*Fares!F27*(1+conc_change)+share_student*Fares!H27+share_workfare*Fares!J27))/100</f>
        <v/>
      </c>
    </row>
    <row r="28">
      <c r="A28" t="inlineStr">
        <is>
          <t>28.3 km - 29.2 km</t>
        </is>
      </c>
      <c r="B28">
        <f>share_adult*Fares!C28+share_senior*Fares!E28+share_student*Fares!G28+share_workfare*Fares!I28</f>
        <v/>
      </c>
      <c r="C28">
        <f>share_adult*Fares!D28+share_senior*Fares!F28+share_student*Fares!H28+share_workfare*Fares!J28</f>
        <v/>
      </c>
      <c r="D28" s="12">
        <f>(Rides!B28*B28+Rides!C28*0+Rides!D28*C28)/100</f>
        <v/>
      </c>
      <c r="E28" s="12">
        <f>(Rides!B28*Fares!C28+Rides!C28*0+Rides!D28*Fares!D28)/100</f>
        <v/>
      </c>
      <c r="F28">
        <f>share_adult*Fares!K28+share_senior*Fares!M28+share_student*Fares!O28+share_workfare*Fares!Q28</f>
        <v/>
      </c>
      <c r="G28">
        <f>share_adult*Fares!L28+share_senior*Fares!N28+share_student*Fares!P28+share_workfare*Fares!R28</f>
        <v/>
      </c>
      <c r="H28" s="12">
        <f>(Rides!B28*F28+Rides!C28*0+Rides!D28*G28)/100</f>
        <v/>
      </c>
      <c r="I28">
        <f>Fares!C28</f>
        <v/>
      </c>
      <c r="J28" s="12">
        <f>(Rides!B28*(share_adult*Fares!C28+share_senior*Fares!E28*(1+conc_change)+share_student*Fares!G28+share_workfare*Fares!I28)+Rides!C28*0+Rides!D28*(share_adult*Fares!D28+share_senior*Fares!F28*(1+conc_change)+share_student*Fares!H28+share_workfare*Fares!J28))/100</f>
        <v/>
      </c>
    </row>
    <row r="29">
      <c r="A29" t="inlineStr">
        <is>
          <t>29.3 km - 30.2 km</t>
        </is>
      </c>
      <c r="B29">
        <f>share_adult*Fares!C29+share_senior*Fares!E29+share_student*Fares!G29+share_workfare*Fares!I29</f>
        <v/>
      </c>
      <c r="C29">
        <f>share_adult*Fares!D29+share_senior*Fares!F29+share_student*Fares!H29+share_workfare*Fares!J29</f>
        <v/>
      </c>
      <c r="D29" s="12">
        <f>(Rides!B29*B29+Rides!C29*0+Rides!D29*C29)/100</f>
        <v/>
      </c>
      <c r="E29" s="12">
        <f>(Rides!B29*Fares!C29+Rides!C29*0+Rides!D29*Fares!D29)/100</f>
        <v/>
      </c>
      <c r="F29">
        <f>share_adult*Fares!K29+share_senior*Fares!M29+share_student*Fares!O29+share_workfare*Fares!Q29</f>
        <v/>
      </c>
      <c r="G29">
        <f>share_adult*Fares!L29+share_senior*Fares!N29+share_student*Fares!P29+share_workfare*Fares!R29</f>
        <v/>
      </c>
      <c r="H29" s="12">
        <f>(Rides!B29*F29+Rides!C29*0+Rides!D29*G29)/100</f>
        <v/>
      </c>
      <c r="I29">
        <f>Fares!C29</f>
        <v/>
      </c>
      <c r="J29" s="12">
        <f>(Rides!B29*(share_adult*Fares!C29+share_senior*Fares!E29*(1+conc_change)+share_student*Fares!G29+share_workfare*Fares!I29)+Rides!C29*0+Rides!D29*(share_adult*Fares!D29+share_senior*Fares!F29*(1+conc_change)+share_student*Fares!H29+share_workfare*Fares!J29))/100</f>
        <v/>
      </c>
    </row>
    <row r="30">
      <c r="A30" t="inlineStr">
        <is>
          <t>30.3 km - 31.2 km</t>
        </is>
      </c>
      <c r="B30">
        <f>share_adult*Fares!C30+share_senior*Fares!E30+share_student*Fares!G30+share_workfare*Fares!I30</f>
        <v/>
      </c>
      <c r="C30">
        <f>share_adult*Fares!D30+share_senior*Fares!F30+share_student*Fares!H30+share_workfare*Fares!J30</f>
        <v/>
      </c>
      <c r="D30" s="12">
        <f>(Rides!B30*B30+Rides!C30*0+Rides!D30*C30)/100</f>
        <v/>
      </c>
      <c r="E30" s="12">
        <f>(Rides!B30*Fares!C30+Rides!C30*0+Rides!D30*Fares!D30)/100</f>
        <v/>
      </c>
      <c r="F30">
        <f>share_adult*Fares!K30+share_senior*Fares!M30+share_student*Fares!O30+share_workfare*Fares!Q30</f>
        <v/>
      </c>
      <c r="G30">
        <f>share_adult*Fares!L30+share_senior*Fares!N30+share_student*Fares!P30+share_workfare*Fares!R30</f>
        <v/>
      </c>
      <c r="H30" s="12">
        <f>(Rides!B30*F30+Rides!C30*0+Rides!D30*G30)/100</f>
        <v/>
      </c>
      <c r="I30">
        <f>Fares!C30</f>
        <v/>
      </c>
      <c r="J30" s="12">
        <f>(Rides!B30*(share_adult*Fares!C30+share_senior*Fares!E30*(1+conc_change)+share_student*Fares!G30+share_workfare*Fares!I30)+Rides!C30*0+Rides!D30*(share_adult*Fares!D30+share_senior*Fares!F30*(1+conc_change)+share_student*Fares!H30+share_workfare*Fares!J30))/100</f>
        <v/>
      </c>
    </row>
    <row r="31">
      <c r="A31" t="inlineStr">
        <is>
          <t>31.3 km - 32.2 km</t>
        </is>
      </c>
      <c r="B31">
        <f>share_adult*Fares!C31+share_senior*Fares!E31+share_student*Fares!G31+share_workfare*Fares!I31</f>
        <v/>
      </c>
      <c r="C31">
        <f>share_adult*Fares!D31+share_senior*Fares!F31+share_student*Fares!H31+share_workfare*Fares!J31</f>
        <v/>
      </c>
      <c r="D31" s="12">
        <f>(Rides!B31*B31+Rides!C31*0+Rides!D31*C31)/100</f>
        <v/>
      </c>
      <c r="E31" s="12">
        <f>(Rides!B31*Fares!C31+Rides!C31*0+Rides!D31*Fares!D31)/100</f>
        <v/>
      </c>
      <c r="F31">
        <f>share_adult*Fares!K31+share_senior*Fares!M31+share_student*Fares!O31+share_workfare*Fares!Q31</f>
        <v/>
      </c>
      <c r="G31">
        <f>share_adult*Fares!L31+share_senior*Fares!N31+share_student*Fares!P31+share_workfare*Fares!R31</f>
        <v/>
      </c>
      <c r="H31" s="12">
        <f>(Rides!B31*F31+Rides!C31*0+Rides!D31*G31)/100</f>
        <v/>
      </c>
      <c r="I31">
        <f>Fares!C31</f>
        <v/>
      </c>
      <c r="J31" s="12">
        <f>(Rides!B31*(share_adult*Fares!C31+share_senior*Fares!E31*(1+conc_change)+share_student*Fares!G31+share_workfare*Fares!I31)+Rides!C31*0+Rides!D31*(share_adult*Fares!D31+share_senior*Fares!F31*(1+conc_change)+share_student*Fares!H31+share_workfare*Fares!J31))/100</f>
        <v/>
      </c>
    </row>
    <row r="32">
      <c r="A32" t="inlineStr">
        <is>
          <t>32.3 km - 33.2 km</t>
        </is>
      </c>
      <c r="B32">
        <f>share_adult*Fares!C32+share_senior*Fares!E32+share_student*Fares!G32+share_workfare*Fares!I32</f>
        <v/>
      </c>
      <c r="C32">
        <f>share_adult*Fares!D32+share_senior*Fares!F32+share_student*Fares!H32+share_workfare*Fares!J32</f>
        <v/>
      </c>
      <c r="D32" s="12">
        <f>(Rides!B32*B32+Rides!C32*0+Rides!D32*C32)/100</f>
        <v/>
      </c>
      <c r="E32" s="12">
        <f>(Rides!B32*Fares!C32+Rides!C32*0+Rides!D32*Fares!D32)/100</f>
        <v/>
      </c>
      <c r="F32">
        <f>share_adult*Fares!K32+share_senior*Fares!M32+share_student*Fares!O32+share_workfare*Fares!Q32</f>
        <v/>
      </c>
      <c r="G32">
        <f>share_adult*Fares!L32+share_senior*Fares!N32+share_student*Fares!P32+share_workfare*Fares!R32</f>
        <v/>
      </c>
      <c r="H32" s="12">
        <f>(Rides!B32*F32+Rides!C32*0+Rides!D32*G32)/100</f>
        <v/>
      </c>
      <c r="I32">
        <f>Fares!C32</f>
        <v/>
      </c>
      <c r="J32" s="12">
        <f>(Rides!B32*(share_adult*Fares!C32+share_senior*Fares!E32*(1+conc_change)+share_student*Fares!G32+share_workfare*Fares!I32)+Rides!C32*0+Rides!D32*(share_adult*Fares!D32+share_senior*Fares!F32*(1+conc_change)+share_student*Fares!H32+share_workfare*Fares!J32))/100</f>
        <v/>
      </c>
    </row>
    <row r="33">
      <c r="A33" t="inlineStr">
        <is>
          <t>33.3 km - 34.2 km</t>
        </is>
      </c>
      <c r="B33">
        <f>share_adult*Fares!C33+share_senior*Fares!E33+share_student*Fares!G33+share_workfare*Fares!I33</f>
        <v/>
      </c>
      <c r="C33">
        <f>share_adult*Fares!D33+share_senior*Fares!F33+share_student*Fares!H33+share_workfare*Fares!J33</f>
        <v/>
      </c>
      <c r="D33" s="12">
        <f>(Rides!B33*B33+Rides!C33*0+Rides!D33*C33)/100</f>
        <v/>
      </c>
      <c r="E33" s="12">
        <f>(Rides!B33*Fares!C33+Rides!C33*0+Rides!D33*Fares!D33)/100</f>
        <v/>
      </c>
      <c r="F33">
        <f>share_adult*Fares!K33+share_senior*Fares!M33+share_student*Fares!O33+share_workfare*Fares!Q33</f>
        <v/>
      </c>
      <c r="G33">
        <f>share_adult*Fares!L33+share_senior*Fares!N33+share_student*Fares!P33+share_workfare*Fares!R33</f>
        <v/>
      </c>
      <c r="H33" s="12">
        <f>(Rides!B33*F33+Rides!C33*0+Rides!D33*G33)/100</f>
        <v/>
      </c>
      <c r="I33">
        <f>Fares!C33</f>
        <v/>
      </c>
      <c r="J33" s="12">
        <f>(Rides!B33*(share_adult*Fares!C33+share_senior*Fares!E33*(1+conc_change)+share_student*Fares!G33+share_workfare*Fares!I33)+Rides!C33*0+Rides!D33*(share_adult*Fares!D33+share_senior*Fares!F33*(1+conc_change)+share_student*Fares!H33+share_workfare*Fares!J33))/100</f>
        <v/>
      </c>
    </row>
    <row r="34">
      <c r="A34" t="inlineStr">
        <is>
          <t>34.3 km - 35.2 km</t>
        </is>
      </c>
      <c r="B34">
        <f>share_adult*Fares!C34+share_senior*Fares!E34+share_student*Fares!G34+share_workfare*Fares!I34</f>
        <v/>
      </c>
      <c r="C34">
        <f>share_adult*Fares!D34+share_senior*Fares!F34+share_student*Fares!H34+share_workfare*Fares!J34</f>
        <v/>
      </c>
      <c r="D34" s="12">
        <f>(Rides!B34*B34+Rides!C34*0+Rides!D34*C34)/100</f>
        <v/>
      </c>
      <c r="E34" s="12">
        <f>(Rides!B34*Fares!C34+Rides!C34*0+Rides!D34*Fares!D34)/100</f>
        <v/>
      </c>
      <c r="F34">
        <f>share_adult*Fares!K34+share_senior*Fares!M34+share_student*Fares!O34+share_workfare*Fares!Q34</f>
        <v/>
      </c>
      <c r="G34">
        <f>share_adult*Fares!L34+share_senior*Fares!N34+share_student*Fares!P34+share_workfare*Fares!R34</f>
        <v/>
      </c>
      <c r="H34" s="12">
        <f>(Rides!B34*F34+Rides!C34*0+Rides!D34*G34)/100</f>
        <v/>
      </c>
      <c r="I34">
        <f>Fares!C34</f>
        <v/>
      </c>
      <c r="J34" s="12">
        <f>(Rides!B34*(share_adult*Fares!C34+share_senior*Fares!E34*(1+conc_change)+share_student*Fares!G34+share_workfare*Fares!I34)+Rides!C34*0+Rides!D34*(share_adult*Fares!D34+share_senior*Fares!F34*(1+conc_change)+share_student*Fares!H34+share_workfare*Fares!J34))/100</f>
        <v/>
      </c>
    </row>
    <row r="35">
      <c r="A35" t="inlineStr">
        <is>
          <t>35.3 km - 36.2 km</t>
        </is>
      </c>
      <c r="B35">
        <f>share_adult*Fares!C35+share_senior*Fares!E35+share_student*Fares!G35+share_workfare*Fares!I35</f>
        <v/>
      </c>
      <c r="C35">
        <f>share_adult*Fares!D35+share_senior*Fares!F35+share_student*Fares!H35+share_workfare*Fares!J35</f>
        <v/>
      </c>
      <c r="D35" s="12">
        <f>(Rides!B35*B35+Rides!C35*0+Rides!D35*C35)/100</f>
        <v/>
      </c>
      <c r="E35" s="12">
        <f>(Rides!B35*Fares!C35+Rides!C35*0+Rides!D35*Fares!D35)/100</f>
        <v/>
      </c>
      <c r="F35">
        <f>share_adult*Fares!K35+share_senior*Fares!M35+share_student*Fares!O35+share_workfare*Fares!Q35</f>
        <v/>
      </c>
      <c r="G35">
        <f>share_adult*Fares!L35+share_senior*Fares!N35+share_student*Fares!P35+share_workfare*Fares!R35</f>
        <v/>
      </c>
      <c r="H35" s="12">
        <f>(Rides!B35*F35+Rides!C35*0+Rides!D35*G35)/100</f>
        <v/>
      </c>
      <c r="I35">
        <f>Fares!C35</f>
        <v/>
      </c>
      <c r="J35" s="12">
        <f>(Rides!B35*(share_adult*Fares!C35+share_senior*Fares!E35*(1+conc_change)+share_student*Fares!G35+share_workfare*Fares!I35)+Rides!C35*0+Rides!D35*(share_adult*Fares!D35+share_senior*Fares!F35*(1+conc_change)+share_student*Fares!H35+share_workfare*Fares!J35))/100</f>
        <v/>
      </c>
    </row>
    <row r="36">
      <c r="A36" t="inlineStr">
        <is>
          <t>36.3 km - 37.2 km</t>
        </is>
      </c>
      <c r="B36">
        <f>share_adult*Fares!C36+share_senior*Fares!E36+share_student*Fares!G36+share_workfare*Fares!I36</f>
        <v/>
      </c>
      <c r="C36">
        <f>share_adult*Fares!D36+share_senior*Fares!F36+share_student*Fares!H36+share_workfare*Fares!J36</f>
        <v/>
      </c>
      <c r="D36" s="12">
        <f>(Rides!B36*B36+Rides!C36*0+Rides!D36*C36)/100</f>
        <v/>
      </c>
      <c r="E36" s="12">
        <f>(Rides!B36*Fares!C36+Rides!C36*0+Rides!D36*Fares!D36)/100</f>
        <v/>
      </c>
      <c r="F36">
        <f>share_adult*Fares!K36+share_senior*Fares!M36+share_student*Fares!O36+share_workfare*Fares!Q36</f>
        <v/>
      </c>
      <c r="G36">
        <f>share_adult*Fares!L36+share_senior*Fares!N36+share_student*Fares!P36+share_workfare*Fares!R36</f>
        <v/>
      </c>
      <c r="H36" s="12">
        <f>(Rides!B36*F36+Rides!C36*0+Rides!D36*G36)/100</f>
        <v/>
      </c>
      <c r="I36">
        <f>Fares!C36</f>
        <v/>
      </c>
      <c r="J36" s="12">
        <f>(Rides!B36*(share_adult*Fares!C36+share_senior*Fares!E36*(1+conc_change)+share_student*Fares!G36+share_workfare*Fares!I36)+Rides!C36*0+Rides!D36*(share_adult*Fares!D36+share_senior*Fares!F36*(1+conc_change)+share_student*Fares!H36+share_workfare*Fares!J36))/100</f>
        <v/>
      </c>
    </row>
    <row r="37">
      <c r="A37" t="inlineStr">
        <is>
          <t>37.3 km - 38.2 km</t>
        </is>
      </c>
      <c r="B37">
        <f>share_adult*Fares!C37+share_senior*Fares!E37+share_student*Fares!G37+share_workfare*Fares!I37</f>
        <v/>
      </c>
      <c r="C37">
        <f>share_adult*Fares!D37+share_senior*Fares!F37+share_student*Fares!H37+share_workfare*Fares!J37</f>
        <v/>
      </c>
      <c r="D37" s="12">
        <f>(Rides!B37*B37+Rides!C37*0+Rides!D37*C37)/100</f>
        <v/>
      </c>
      <c r="E37" s="12">
        <f>(Rides!B37*Fares!C37+Rides!C37*0+Rides!D37*Fares!D37)/100</f>
        <v/>
      </c>
      <c r="F37">
        <f>share_adult*Fares!K37+share_senior*Fares!M37+share_student*Fares!O37+share_workfare*Fares!Q37</f>
        <v/>
      </c>
      <c r="G37">
        <f>share_adult*Fares!L37+share_senior*Fares!N37+share_student*Fares!P37+share_workfare*Fares!R37</f>
        <v/>
      </c>
      <c r="H37" s="12">
        <f>(Rides!B37*F37+Rides!C37*0+Rides!D37*G37)/100</f>
        <v/>
      </c>
      <c r="I37">
        <f>Fares!C37</f>
        <v/>
      </c>
      <c r="J37" s="12">
        <f>(Rides!B37*(share_adult*Fares!C37+share_senior*Fares!E37*(1+conc_change)+share_student*Fares!G37+share_workfare*Fares!I37)+Rides!C37*0+Rides!D37*(share_adult*Fares!D37+share_senior*Fares!F37*(1+conc_change)+share_student*Fares!H37+share_workfare*Fares!J37))/100</f>
        <v/>
      </c>
    </row>
    <row r="38">
      <c r="A38" t="inlineStr">
        <is>
          <t>38.3 km - 39.2 km</t>
        </is>
      </c>
      <c r="B38">
        <f>share_adult*Fares!C38+share_senior*Fares!E38+share_student*Fares!G38+share_workfare*Fares!I38</f>
        <v/>
      </c>
      <c r="C38">
        <f>share_adult*Fares!D38+share_senior*Fares!F38+share_student*Fares!H38+share_workfare*Fares!J38</f>
        <v/>
      </c>
      <c r="D38" s="12">
        <f>(Rides!B38*B38+Rides!C38*0+Rides!D38*C38)/100</f>
        <v/>
      </c>
      <c r="E38" s="12">
        <f>(Rides!B38*Fares!C38+Rides!C38*0+Rides!D38*Fares!D38)/100</f>
        <v/>
      </c>
      <c r="F38">
        <f>share_adult*Fares!K38+share_senior*Fares!M38+share_student*Fares!O38+share_workfare*Fares!Q38</f>
        <v/>
      </c>
      <c r="G38">
        <f>share_adult*Fares!L38+share_senior*Fares!N38+share_student*Fares!P38+share_workfare*Fares!R38</f>
        <v/>
      </c>
      <c r="H38" s="12">
        <f>(Rides!B38*F38+Rides!C38*0+Rides!D38*G38)/100</f>
        <v/>
      </c>
      <c r="I38">
        <f>Fares!C38</f>
        <v/>
      </c>
      <c r="J38" s="12">
        <f>(Rides!B38*(share_adult*Fares!C38+share_senior*Fares!E38*(1+conc_change)+share_student*Fares!G38+share_workfare*Fares!I38)+Rides!C38*0+Rides!D38*(share_adult*Fares!D38+share_senior*Fares!F38*(1+conc_change)+share_student*Fares!H38+share_workfare*Fares!J38))/100</f>
        <v/>
      </c>
    </row>
    <row r="39">
      <c r="A39" t="inlineStr">
        <is>
          <t>39.3 km - 40.2 km</t>
        </is>
      </c>
      <c r="B39">
        <f>share_adult*Fares!C39+share_senior*Fares!E39+share_student*Fares!G39+share_workfare*Fares!I39</f>
        <v/>
      </c>
      <c r="C39">
        <f>share_adult*Fares!D39+share_senior*Fares!F39+share_student*Fares!H39+share_workfare*Fares!J39</f>
        <v/>
      </c>
      <c r="D39" s="12">
        <f>(Rides!B39*B39+Rides!C39*0+Rides!D39*C39)/100</f>
        <v/>
      </c>
      <c r="E39" s="12">
        <f>(Rides!B39*Fares!C39+Rides!C39*0+Rides!D39*Fares!D39)/100</f>
        <v/>
      </c>
      <c r="F39">
        <f>share_adult*Fares!K39+share_senior*Fares!M39+share_student*Fares!O39+share_workfare*Fares!Q39</f>
        <v/>
      </c>
      <c r="G39">
        <f>share_adult*Fares!L39+share_senior*Fares!N39+share_student*Fares!P39+share_workfare*Fares!R39</f>
        <v/>
      </c>
      <c r="H39" s="12">
        <f>(Rides!B39*F39+Rides!C39*0+Rides!D39*G39)/100</f>
        <v/>
      </c>
      <c r="I39">
        <f>Fares!C39</f>
        <v/>
      </c>
      <c r="J39" s="12">
        <f>(Rides!B39*(share_adult*Fares!C39+share_senior*Fares!E39*(1+conc_change)+share_student*Fares!G39+share_workfare*Fares!I39)+Rides!C39*0+Rides!D39*(share_adult*Fares!D39+share_senior*Fares!F39*(1+conc_change)+share_student*Fares!H39+share_workfare*Fares!J39))/100</f>
        <v/>
      </c>
    </row>
    <row r="40">
      <c r="A40" t="inlineStr">
        <is>
          <t>Over 40.2 km</t>
        </is>
      </c>
      <c r="B40">
        <f>share_adult*Fares!C40+share_senior*Fares!E40+share_student*Fares!G40+share_workfare*Fares!I40</f>
        <v/>
      </c>
      <c r="C40">
        <f>share_adult*Fares!D40+share_senior*Fares!F40+share_student*Fares!H40+share_workfare*Fares!J40</f>
        <v/>
      </c>
      <c r="D40" s="12">
        <f>(Rides!B40*B40+Rides!C40*0+Rides!D40*C40)/100</f>
        <v/>
      </c>
      <c r="E40" s="12">
        <f>(Rides!B40*Fares!C40+Rides!C40*0+Rides!D40*Fares!D40)/100</f>
        <v/>
      </c>
      <c r="F40">
        <f>share_adult*Fares!K40+share_senior*Fares!M40+share_student*Fares!O40+share_workfare*Fares!Q40</f>
        <v/>
      </c>
      <c r="G40">
        <f>share_adult*Fares!L40+share_senior*Fares!N40+share_student*Fares!P40+share_workfare*Fares!R40</f>
        <v/>
      </c>
      <c r="H40" s="12">
        <f>(Rides!B40*F40+Rides!C40*0+Rides!D40*G40)/100</f>
        <v/>
      </c>
      <c r="I40">
        <f>Fares!C40</f>
        <v/>
      </c>
      <c r="J40" s="12">
        <f>(Rides!B40*(share_adult*Fares!C40+share_senior*Fares!E40*(1+conc_change)+share_student*Fares!G40+share_workfare*Fares!I40)+Rides!C40*0+Rides!D40*(share_adult*Fares!D40+share_senior*Fares!F40*(1+conc_change)+share_student*Fares!H40+share_workfare*Fares!J40))/100</f>
        <v/>
      </c>
    </row>
    <row r="41">
      <c r="A41" s="1" t="inlineStr">
        <is>
          <t>Total</t>
        </is>
      </c>
      <c r="D41" s="12">
        <f>SUM(D2:D40)</f>
        <v/>
      </c>
      <c r="E41" s="12">
        <f>SUM(E2:E40)</f>
        <v/>
      </c>
      <c r="H41" s="12">
        <f>SUM(H2:H40)</f>
        <v/>
      </c>
      <c r="J41" s="12">
        <f>SUM(J2:J40)</f>
        <v/>
      </c>
    </row>
    <row r="43">
      <c r="A43" t="inlineStr">
        <is>
          <t>Mean adult fare per ride (cents)</t>
        </is>
      </c>
      <c r="D43" s="13">
        <f>adult_gross*100/rides_total</f>
        <v/>
      </c>
    </row>
    <row r="44">
      <c r="A44" t="inlineStr">
        <is>
          <t>Average transfer rebate F(a)+F(b)-F(a+b) (cents, Transfers sheet)</t>
        </is>
      </c>
      <c r="D44" s="13">
        <f>Transfers!B1</f>
        <v/>
      </c>
    </row>
    <row r="45">
      <c r="A45" t="inlineStr">
        <is>
          <t>Transfer factor (journey fares / ride fares)</t>
        </is>
      </c>
      <c r="D45" s="14">
        <f>1-transfer_share*rebate/mean_adult</f>
        <v/>
      </c>
    </row>
    <row r="46">
      <c r="A46" t="inlineStr">
        <is>
          <t>Estimated fare revenue at current fares (S$/yr)</t>
        </is>
      </c>
      <c r="D46" s="12">
        <f>gross_now*tfactor</f>
        <v/>
      </c>
    </row>
    <row r="47">
      <c r="A47" t="inlineStr">
        <is>
          <t>Estimated fare revenue at Dec 2026 fares (S$/yr)</t>
        </is>
      </c>
      <c r="D47" s="12">
        <f>gross_dec*tfactor</f>
        <v/>
      </c>
    </row>
    <row r="48">
      <c r="A48" t="inlineStr">
        <is>
          <t>Change from the Dec 2026 fare review</t>
        </is>
      </c>
      <c r="D48" s="15">
        <f>rev_dec/rev_now-1</f>
        <v/>
      </c>
    </row>
    <row r="49">
      <c r="A49" t="inlineStr">
        <is>
          <t>Extra revenue a year from the Dec 2026 fare review (S$)</t>
        </is>
      </c>
      <c r="D49" s="12">
        <f>rev_dec-rev_now</f>
        <v/>
      </c>
    </row>
    <row r="50">
      <c r="A50" t="inlineStr">
        <is>
          <t>Revenue if every ride paid the adult fare, no transfers (S$/yr)</t>
        </is>
      </c>
      <c r="D50" s="12">
        <f>adult_gross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 rebate per transfer (cents)</t>
        </is>
      </c>
      <c r="B1" s="16">
        <f>SUM(B4:AN42)</f>
        <v/>
      </c>
    </row>
    <row r="2">
      <c r="A2" t="inlineStr">
        <is>
          <t>Cell (a, b) = P(a) P(b) [F(a) + F(b) - F(band of km_a + km_b)], adult trunk fares, P = share of trunk rides in each band, km = Fares!B.</t>
        </is>
      </c>
    </row>
    <row r="3">
      <c r="B3">
        <f>Fares!$B$2</f>
        <v/>
      </c>
      <c r="C3">
        <f>Fares!$B$3</f>
        <v/>
      </c>
      <c r="D3">
        <f>Fares!$B$4</f>
        <v/>
      </c>
      <c r="E3">
        <f>Fares!$B$5</f>
        <v/>
      </c>
      <c r="F3">
        <f>Fares!$B$6</f>
        <v/>
      </c>
      <c r="G3">
        <f>Fares!$B$7</f>
        <v/>
      </c>
      <c r="H3">
        <f>Fares!$B$8</f>
        <v/>
      </c>
      <c r="I3">
        <f>Fares!$B$9</f>
        <v/>
      </c>
      <c r="J3">
        <f>Fares!$B$10</f>
        <v/>
      </c>
      <c r="K3">
        <f>Fares!$B$11</f>
        <v/>
      </c>
      <c r="L3">
        <f>Fares!$B$12</f>
        <v/>
      </c>
      <c r="M3">
        <f>Fares!$B$13</f>
        <v/>
      </c>
      <c r="N3">
        <f>Fares!$B$14</f>
        <v/>
      </c>
      <c r="O3">
        <f>Fares!$B$15</f>
        <v/>
      </c>
      <c r="P3">
        <f>Fares!$B$16</f>
        <v/>
      </c>
      <c r="Q3">
        <f>Fares!$B$17</f>
        <v/>
      </c>
      <c r="R3">
        <f>Fares!$B$18</f>
        <v/>
      </c>
      <c r="S3">
        <f>Fares!$B$19</f>
        <v/>
      </c>
      <c r="T3">
        <f>Fares!$B$20</f>
        <v/>
      </c>
      <c r="U3">
        <f>Fares!$B$21</f>
        <v/>
      </c>
      <c r="V3">
        <f>Fares!$B$22</f>
        <v/>
      </c>
      <c r="W3">
        <f>Fares!$B$23</f>
        <v/>
      </c>
      <c r="X3">
        <f>Fares!$B$24</f>
        <v/>
      </c>
      <c r="Y3">
        <f>Fares!$B$25</f>
        <v/>
      </c>
      <c r="Z3">
        <f>Fares!$B$26</f>
        <v/>
      </c>
      <c r="AA3">
        <f>Fares!$B$27</f>
        <v/>
      </c>
      <c r="AB3">
        <f>Fares!$B$28</f>
        <v/>
      </c>
      <c r="AC3">
        <f>Fares!$B$29</f>
        <v/>
      </c>
      <c r="AD3">
        <f>Fares!$B$30</f>
        <v/>
      </c>
      <c r="AE3">
        <f>Fares!$B$31</f>
        <v/>
      </c>
      <c r="AF3">
        <f>Fares!$B$32</f>
        <v/>
      </c>
      <c r="AG3">
        <f>Fares!$B$33</f>
        <v/>
      </c>
      <c r="AH3">
        <f>Fares!$B$34</f>
        <v/>
      </c>
      <c r="AI3">
        <f>Fares!$B$35</f>
        <v/>
      </c>
      <c r="AJ3">
        <f>Fares!$B$36</f>
        <v/>
      </c>
      <c r="AK3">
        <f>Fares!$B$37</f>
        <v/>
      </c>
      <c r="AL3">
        <f>Fares!$B$38</f>
        <v/>
      </c>
      <c r="AM3">
        <f>Fares!$B$39</f>
        <v/>
      </c>
      <c r="AN3">
        <f>Fares!$B$40</f>
        <v/>
      </c>
    </row>
    <row r="4">
      <c r="A4">
        <f>Fares!$B$2</f>
        <v/>
      </c>
      <c r="B4">
        <f>Rides!$B$2/Rides!$B$41*Rides!$B$2/Rides!$B$41*(Fares!$C$2+Fares!$C$2-INDEX(Fares!$C$2:$C$40,MIN(38,MAX(0,ROUNDUP(ROUND(Fares!$B$2+Fares!$B$2-3.2,1)-0.000000001,0)))+1))</f>
        <v/>
      </c>
      <c r="C4">
        <f>Rides!$B$2/Rides!$B$41*Rides!$B$3/Rides!$B$41*(Fares!$C$2+Fares!$C$3-INDEX(Fares!$C$2:$C$40,MIN(38,MAX(0,ROUNDUP(ROUND(Fares!$B$2+Fares!$B$3-3.2,1)-0.000000001,0)))+1))</f>
        <v/>
      </c>
      <c r="D4">
        <f>Rides!$B$2/Rides!$B$41*Rides!$B$4/Rides!$B$41*(Fares!$C$2+Fares!$C$4-INDEX(Fares!$C$2:$C$40,MIN(38,MAX(0,ROUNDUP(ROUND(Fares!$B$2+Fares!$B$4-3.2,1)-0.000000001,0)))+1))</f>
        <v/>
      </c>
      <c r="E4">
        <f>Rides!$B$2/Rides!$B$41*Rides!$B$5/Rides!$B$41*(Fares!$C$2+Fares!$C$5-INDEX(Fares!$C$2:$C$40,MIN(38,MAX(0,ROUNDUP(ROUND(Fares!$B$2+Fares!$B$5-3.2,1)-0.000000001,0)))+1))</f>
        <v/>
      </c>
      <c r="F4">
        <f>Rides!$B$2/Rides!$B$41*Rides!$B$6/Rides!$B$41*(Fares!$C$2+Fares!$C$6-INDEX(Fares!$C$2:$C$40,MIN(38,MAX(0,ROUNDUP(ROUND(Fares!$B$2+Fares!$B$6-3.2,1)-0.000000001,0)))+1))</f>
        <v/>
      </c>
      <c r="G4">
        <f>Rides!$B$2/Rides!$B$41*Rides!$B$7/Rides!$B$41*(Fares!$C$2+Fares!$C$7-INDEX(Fares!$C$2:$C$40,MIN(38,MAX(0,ROUNDUP(ROUND(Fares!$B$2+Fares!$B$7-3.2,1)-0.000000001,0)))+1))</f>
        <v/>
      </c>
      <c r="H4">
        <f>Rides!$B$2/Rides!$B$41*Rides!$B$8/Rides!$B$41*(Fares!$C$2+Fares!$C$8-INDEX(Fares!$C$2:$C$40,MIN(38,MAX(0,ROUNDUP(ROUND(Fares!$B$2+Fares!$B$8-3.2,1)-0.000000001,0)))+1))</f>
        <v/>
      </c>
      <c r="I4">
        <f>Rides!$B$2/Rides!$B$41*Rides!$B$9/Rides!$B$41*(Fares!$C$2+Fares!$C$9-INDEX(Fares!$C$2:$C$40,MIN(38,MAX(0,ROUNDUP(ROUND(Fares!$B$2+Fares!$B$9-3.2,1)-0.000000001,0)))+1))</f>
        <v/>
      </c>
      <c r="J4">
        <f>Rides!$B$2/Rides!$B$41*Rides!$B$10/Rides!$B$41*(Fares!$C$2+Fares!$C$10-INDEX(Fares!$C$2:$C$40,MIN(38,MAX(0,ROUNDUP(ROUND(Fares!$B$2+Fares!$B$10-3.2,1)-0.000000001,0)))+1))</f>
        <v/>
      </c>
      <c r="K4">
        <f>Rides!$B$2/Rides!$B$41*Rides!$B$11/Rides!$B$41*(Fares!$C$2+Fares!$C$11-INDEX(Fares!$C$2:$C$40,MIN(38,MAX(0,ROUNDUP(ROUND(Fares!$B$2+Fares!$B$11-3.2,1)-0.000000001,0)))+1))</f>
        <v/>
      </c>
      <c r="L4">
        <f>Rides!$B$2/Rides!$B$41*Rides!$B$12/Rides!$B$41*(Fares!$C$2+Fares!$C$12-INDEX(Fares!$C$2:$C$40,MIN(38,MAX(0,ROUNDUP(ROUND(Fares!$B$2+Fares!$B$12-3.2,1)-0.000000001,0)))+1))</f>
        <v/>
      </c>
      <c r="M4">
        <f>Rides!$B$2/Rides!$B$41*Rides!$B$13/Rides!$B$41*(Fares!$C$2+Fares!$C$13-INDEX(Fares!$C$2:$C$40,MIN(38,MAX(0,ROUNDUP(ROUND(Fares!$B$2+Fares!$B$13-3.2,1)-0.000000001,0)))+1))</f>
        <v/>
      </c>
      <c r="N4">
        <f>Rides!$B$2/Rides!$B$41*Rides!$B$14/Rides!$B$41*(Fares!$C$2+Fares!$C$14-INDEX(Fares!$C$2:$C$40,MIN(38,MAX(0,ROUNDUP(ROUND(Fares!$B$2+Fares!$B$14-3.2,1)-0.000000001,0)))+1))</f>
        <v/>
      </c>
      <c r="O4">
        <f>Rides!$B$2/Rides!$B$41*Rides!$B$15/Rides!$B$41*(Fares!$C$2+Fares!$C$15-INDEX(Fares!$C$2:$C$40,MIN(38,MAX(0,ROUNDUP(ROUND(Fares!$B$2+Fares!$B$15-3.2,1)-0.000000001,0)))+1))</f>
        <v/>
      </c>
      <c r="P4">
        <f>Rides!$B$2/Rides!$B$41*Rides!$B$16/Rides!$B$41*(Fares!$C$2+Fares!$C$16-INDEX(Fares!$C$2:$C$40,MIN(38,MAX(0,ROUNDUP(ROUND(Fares!$B$2+Fares!$B$16-3.2,1)-0.000000001,0)))+1))</f>
        <v/>
      </c>
      <c r="Q4">
        <f>Rides!$B$2/Rides!$B$41*Rides!$B$17/Rides!$B$41*(Fares!$C$2+Fares!$C$17-INDEX(Fares!$C$2:$C$40,MIN(38,MAX(0,ROUNDUP(ROUND(Fares!$B$2+Fares!$B$17-3.2,1)-0.000000001,0)))+1))</f>
        <v/>
      </c>
      <c r="R4">
        <f>Rides!$B$2/Rides!$B$41*Rides!$B$18/Rides!$B$41*(Fares!$C$2+Fares!$C$18-INDEX(Fares!$C$2:$C$40,MIN(38,MAX(0,ROUNDUP(ROUND(Fares!$B$2+Fares!$B$18-3.2,1)-0.000000001,0)))+1))</f>
        <v/>
      </c>
      <c r="S4">
        <f>Rides!$B$2/Rides!$B$41*Rides!$B$19/Rides!$B$41*(Fares!$C$2+Fares!$C$19-INDEX(Fares!$C$2:$C$40,MIN(38,MAX(0,ROUNDUP(ROUND(Fares!$B$2+Fares!$B$19-3.2,1)-0.000000001,0)))+1))</f>
        <v/>
      </c>
      <c r="T4">
        <f>Rides!$B$2/Rides!$B$41*Rides!$B$20/Rides!$B$41*(Fares!$C$2+Fares!$C$20-INDEX(Fares!$C$2:$C$40,MIN(38,MAX(0,ROUNDUP(ROUND(Fares!$B$2+Fares!$B$20-3.2,1)-0.000000001,0)))+1))</f>
        <v/>
      </c>
      <c r="U4">
        <f>Rides!$B$2/Rides!$B$41*Rides!$B$21/Rides!$B$41*(Fares!$C$2+Fares!$C$21-INDEX(Fares!$C$2:$C$40,MIN(38,MAX(0,ROUNDUP(ROUND(Fares!$B$2+Fares!$B$21-3.2,1)-0.000000001,0)))+1))</f>
        <v/>
      </c>
      <c r="V4">
        <f>Rides!$B$2/Rides!$B$41*Rides!$B$22/Rides!$B$41*(Fares!$C$2+Fares!$C$22-INDEX(Fares!$C$2:$C$40,MIN(38,MAX(0,ROUNDUP(ROUND(Fares!$B$2+Fares!$B$22-3.2,1)-0.000000001,0)))+1))</f>
        <v/>
      </c>
      <c r="W4">
        <f>Rides!$B$2/Rides!$B$41*Rides!$B$23/Rides!$B$41*(Fares!$C$2+Fares!$C$23-INDEX(Fares!$C$2:$C$40,MIN(38,MAX(0,ROUNDUP(ROUND(Fares!$B$2+Fares!$B$23-3.2,1)-0.000000001,0)))+1))</f>
        <v/>
      </c>
      <c r="X4">
        <f>Rides!$B$2/Rides!$B$41*Rides!$B$24/Rides!$B$41*(Fares!$C$2+Fares!$C$24-INDEX(Fares!$C$2:$C$40,MIN(38,MAX(0,ROUNDUP(ROUND(Fares!$B$2+Fares!$B$24-3.2,1)-0.000000001,0)))+1))</f>
        <v/>
      </c>
      <c r="Y4">
        <f>Rides!$B$2/Rides!$B$41*Rides!$B$25/Rides!$B$41*(Fares!$C$2+Fares!$C$25-INDEX(Fares!$C$2:$C$40,MIN(38,MAX(0,ROUNDUP(ROUND(Fares!$B$2+Fares!$B$25-3.2,1)-0.000000001,0)))+1))</f>
        <v/>
      </c>
      <c r="Z4">
        <f>Rides!$B$2/Rides!$B$41*Rides!$B$26/Rides!$B$41*(Fares!$C$2+Fares!$C$26-INDEX(Fares!$C$2:$C$40,MIN(38,MAX(0,ROUNDUP(ROUND(Fares!$B$2+Fares!$B$26-3.2,1)-0.000000001,0)))+1))</f>
        <v/>
      </c>
      <c r="AA4">
        <f>Rides!$B$2/Rides!$B$41*Rides!$B$27/Rides!$B$41*(Fares!$C$2+Fares!$C$27-INDEX(Fares!$C$2:$C$40,MIN(38,MAX(0,ROUNDUP(ROUND(Fares!$B$2+Fares!$B$27-3.2,1)-0.000000001,0)))+1))</f>
        <v/>
      </c>
      <c r="AB4">
        <f>Rides!$B$2/Rides!$B$41*Rides!$B$28/Rides!$B$41*(Fares!$C$2+Fares!$C$28-INDEX(Fares!$C$2:$C$40,MIN(38,MAX(0,ROUNDUP(ROUND(Fares!$B$2+Fares!$B$28-3.2,1)-0.000000001,0)))+1))</f>
        <v/>
      </c>
      <c r="AC4">
        <f>Rides!$B$2/Rides!$B$41*Rides!$B$29/Rides!$B$41*(Fares!$C$2+Fares!$C$29-INDEX(Fares!$C$2:$C$40,MIN(38,MAX(0,ROUNDUP(ROUND(Fares!$B$2+Fares!$B$29-3.2,1)-0.000000001,0)))+1))</f>
        <v/>
      </c>
      <c r="AD4">
        <f>Rides!$B$2/Rides!$B$41*Rides!$B$30/Rides!$B$41*(Fares!$C$2+Fares!$C$30-INDEX(Fares!$C$2:$C$40,MIN(38,MAX(0,ROUNDUP(ROUND(Fares!$B$2+Fares!$B$30-3.2,1)-0.000000001,0)))+1))</f>
        <v/>
      </c>
      <c r="AE4">
        <f>Rides!$B$2/Rides!$B$41*Rides!$B$31/Rides!$B$41*(Fares!$C$2+Fares!$C$31-INDEX(Fares!$C$2:$C$40,MIN(38,MAX(0,ROUNDUP(ROUND(Fares!$B$2+Fares!$B$31-3.2,1)-0.000000001,0)))+1))</f>
        <v/>
      </c>
      <c r="AF4">
        <f>Rides!$B$2/Rides!$B$41*Rides!$B$32/Rides!$B$41*(Fares!$C$2+Fares!$C$32-INDEX(Fares!$C$2:$C$40,MIN(38,MAX(0,ROUNDUP(ROUND(Fares!$B$2+Fares!$B$32-3.2,1)-0.000000001,0)))+1))</f>
        <v/>
      </c>
      <c r="AG4">
        <f>Rides!$B$2/Rides!$B$41*Rides!$B$33/Rides!$B$41*(Fares!$C$2+Fares!$C$33-INDEX(Fares!$C$2:$C$40,MIN(38,MAX(0,ROUNDUP(ROUND(Fares!$B$2+Fares!$B$33-3.2,1)-0.000000001,0)))+1))</f>
        <v/>
      </c>
      <c r="AH4">
        <f>Rides!$B$2/Rides!$B$41*Rides!$B$34/Rides!$B$41*(Fares!$C$2+Fares!$C$34-INDEX(Fares!$C$2:$C$40,MIN(38,MAX(0,ROUNDUP(ROUND(Fares!$B$2+Fares!$B$34-3.2,1)-0.000000001,0)))+1))</f>
        <v/>
      </c>
      <c r="AI4">
        <f>Rides!$B$2/Rides!$B$41*Rides!$B$35/Rides!$B$41*(Fares!$C$2+Fares!$C$35-INDEX(Fares!$C$2:$C$40,MIN(38,MAX(0,ROUNDUP(ROUND(Fares!$B$2+Fares!$B$35-3.2,1)-0.000000001,0)))+1))</f>
        <v/>
      </c>
      <c r="AJ4">
        <f>Rides!$B$2/Rides!$B$41*Rides!$B$36/Rides!$B$41*(Fares!$C$2+Fares!$C$36-INDEX(Fares!$C$2:$C$40,MIN(38,MAX(0,ROUNDUP(ROUND(Fares!$B$2+Fares!$B$36-3.2,1)-0.000000001,0)))+1))</f>
        <v/>
      </c>
      <c r="AK4">
        <f>Rides!$B$2/Rides!$B$41*Rides!$B$37/Rides!$B$41*(Fares!$C$2+Fares!$C$37-INDEX(Fares!$C$2:$C$40,MIN(38,MAX(0,ROUNDUP(ROUND(Fares!$B$2+Fares!$B$37-3.2,1)-0.000000001,0)))+1))</f>
        <v/>
      </c>
      <c r="AL4">
        <f>Rides!$B$2/Rides!$B$41*Rides!$B$38/Rides!$B$41*(Fares!$C$2+Fares!$C$38-INDEX(Fares!$C$2:$C$40,MIN(38,MAX(0,ROUNDUP(ROUND(Fares!$B$2+Fares!$B$38-3.2,1)-0.000000001,0)))+1))</f>
        <v/>
      </c>
      <c r="AM4">
        <f>Rides!$B$2/Rides!$B$41*Rides!$B$39/Rides!$B$41*(Fares!$C$2+Fares!$C$39-INDEX(Fares!$C$2:$C$40,MIN(38,MAX(0,ROUNDUP(ROUND(Fares!$B$2+Fares!$B$39-3.2,1)-0.000000001,0)))+1))</f>
        <v/>
      </c>
      <c r="AN4">
        <f>Rides!$B$2/Rides!$B$41*Rides!$B$40/Rides!$B$41*(Fares!$C$2+Fares!$C$40-INDEX(Fares!$C$2:$C$40,MIN(38,MAX(0,ROUNDUP(ROUND(Fares!$B$2+Fares!$B$40-3.2,1)-0.000000001,0)))+1))</f>
        <v/>
      </c>
    </row>
    <row r="5">
      <c r="A5">
        <f>Fares!$B$3</f>
        <v/>
      </c>
      <c r="B5">
        <f>Rides!$B$3/Rides!$B$41*Rides!$B$2/Rides!$B$41*(Fares!$C$3+Fares!$C$2-INDEX(Fares!$C$2:$C$40,MIN(38,MAX(0,ROUNDUP(ROUND(Fares!$B$3+Fares!$B$2-3.2,1)-0.000000001,0)))+1))</f>
        <v/>
      </c>
      <c r="C5">
        <f>Rides!$B$3/Rides!$B$41*Rides!$B$3/Rides!$B$41*(Fares!$C$3+Fares!$C$3-INDEX(Fares!$C$2:$C$40,MIN(38,MAX(0,ROUNDUP(ROUND(Fares!$B$3+Fares!$B$3-3.2,1)-0.000000001,0)))+1))</f>
        <v/>
      </c>
      <c r="D5">
        <f>Rides!$B$3/Rides!$B$41*Rides!$B$4/Rides!$B$41*(Fares!$C$3+Fares!$C$4-INDEX(Fares!$C$2:$C$40,MIN(38,MAX(0,ROUNDUP(ROUND(Fares!$B$3+Fares!$B$4-3.2,1)-0.000000001,0)))+1))</f>
        <v/>
      </c>
      <c r="E5">
        <f>Rides!$B$3/Rides!$B$41*Rides!$B$5/Rides!$B$41*(Fares!$C$3+Fares!$C$5-INDEX(Fares!$C$2:$C$40,MIN(38,MAX(0,ROUNDUP(ROUND(Fares!$B$3+Fares!$B$5-3.2,1)-0.000000001,0)))+1))</f>
        <v/>
      </c>
      <c r="F5">
        <f>Rides!$B$3/Rides!$B$41*Rides!$B$6/Rides!$B$41*(Fares!$C$3+Fares!$C$6-INDEX(Fares!$C$2:$C$40,MIN(38,MAX(0,ROUNDUP(ROUND(Fares!$B$3+Fares!$B$6-3.2,1)-0.000000001,0)))+1))</f>
        <v/>
      </c>
      <c r="G5">
        <f>Rides!$B$3/Rides!$B$41*Rides!$B$7/Rides!$B$41*(Fares!$C$3+Fares!$C$7-INDEX(Fares!$C$2:$C$40,MIN(38,MAX(0,ROUNDUP(ROUND(Fares!$B$3+Fares!$B$7-3.2,1)-0.000000001,0)))+1))</f>
        <v/>
      </c>
      <c r="H5">
        <f>Rides!$B$3/Rides!$B$41*Rides!$B$8/Rides!$B$41*(Fares!$C$3+Fares!$C$8-INDEX(Fares!$C$2:$C$40,MIN(38,MAX(0,ROUNDUP(ROUND(Fares!$B$3+Fares!$B$8-3.2,1)-0.000000001,0)))+1))</f>
        <v/>
      </c>
      <c r="I5">
        <f>Rides!$B$3/Rides!$B$41*Rides!$B$9/Rides!$B$41*(Fares!$C$3+Fares!$C$9-INDEX(Fares!$C$2:$C$40,MIN(38,MAX(0,ROUNDUP(ROUND(Fares!$B$3+Fares!$B$9-3.2,1)-0.000000001,0)))+1))</f>
        <v/>
      </c>
      <c r="J5">
        <f>Rides!$B$3/Rides!$B$41*Rides!$B$10/Rides!$B$41*(Fares!$C$3+Fares!$C$10-INDEX(Fares!$C$2:$C$40,MIN(38,MAX(0,ROUNDUP(ROUND(Fares!$B$3+Fares!$B$10-3.2,1)-0.000000001,0)))+1))</f>
        <v/>
      </c>
      <c r="K5">
        <f>Rides!$B$3/Rides!$B$41*Rides!$B$11/Rides!$B$41*(Fares!$C$3+Fares!$C$11-INDEX(Fares!$C$2:$C$40,MIN(38,MAX(0,ROUNDUP(ROUND(Fares!$B$3+Fares!$B$11-3.2,1)-0.000000001,0)))+1))</f>
        <v/>
      </c>
      <c r="L5">
        <f>Rides!$B$3/Rides!$B$41*Rides!$B$12/Rides!$B$41*(Fares!$C$3+Fares!$C$12-INDEX(Fares!$C$2:$C$40,MIN(38,MAX(0,ROUNDUP(ROUND(Fares!$B$3+Fares!$B$12-3.2,1)-0.000000001,0)))+1))</f>
        <v/>
      </c>
      <c r="M5">
        <f>Rides!$B$3/Rides!$B$41*Rides!$B$13/Rides!$B$41*(Fares!$C$3+Fares!$C$13-INDEX(Fares!$C$2:$C$40,MIN(38,MAX(0,ROUNDUP(ROUND(Fares!$B$3+Fares!$B$13-3.2,1)-0.000000001,0)))+1))</f>
        <v/>
      </c>
      <c r="N5">
        <f>Rides!$B$3/Rides!$B$41*Rides!$B$14/Rides!$B$41*(Fares!$C$3+Fares!$C$14-INDEX(Fares!$C$2:$C$40,MIN(38,MAX(0,ROUNDUP(ROUND(Fares!$B$3+Fares!$B$14-3.2,1)-0.000000001,0)))+1))</f>
        <v/>
      </c>
      <c r="O5">
        <f>Rides!$B$3/Rides!$B$41*Rides!$B$15/Rides!$B$41*(Fares!$C$3+Fares!$C$15-INDEX(Fares!$C$2:$C$40,MIN(38,MAX(0,ROUNDUP(ROUND(Fares!$B$3+Fares!$B$15-3.2,1)-0.000000001,0)))+1))</f>
        <v/>
      </c>
      <c r="P5">
        <f>Rides!$B$3/Rides!$B$41*Rides!$B$16/Rides!$B$41*(Fares!$C$3+Fares!$C$16-INDEX(Fares!$C$2:$C$40,MIN(38,MAX(0,ROUNDUP(ROUND(Fares!$B$3+Fares!$B$16-3.2,1)-0.000000001,0)))+1))</f>
        <v/>
      </c>
      <c r="Q5">
        <f>Rides!$B$3/Rides!$B$41*Rides!$B$17/Rides!$B$41*(Fares!$C$3+Fares!$C$17-INDEX(Fares!$C$2:$C$40,MIN(38,MAX(0,ROUNDUP(ROUND(Fares!$B$3+Fares!$B$17-3.2,1)-0.000000001,0)))+1))</f>
        <v/>
      </c>
      <c r="R5">
        <f>Rides!$B$3/Rides!$B$41*Rides!$B$18/Rides!$B$41*(Fares!$C$3+Fares!$C$18-INDEX(Fares!$C$2:$C$40,MIN(38,MAX(0,ROUNDUP(ROUND(Fares!$B$3+Fares!$B$18-3.2,1)-0.000000001,0)))+1))</f>
        <v/>
      </c>
      <c r="S5">
        <f>Rides!$B$3/Rides!$B$41*Rides!$B$19/Rides!$B$41*(Fares!$C$3+Fares!$C$19-INDEX(Fares!$C$2:$C$40,MIN(38,MAX(0,ROUNDUP(ROUND(Fares!$B$3+Fares!$B$19-3.2,1)-0.000000001,0)))+1))</f>
        <v/>
      </c>
      <c r="T5">
        <f>Rides!$B$3/Rides!$B$41*Rides!$B$20/Rides!$B$41*(Fares!$C$3+Fares!$C$20-INDEX(Fares!$C$2:$C$40,MIN(38,MAX(0,ROUNDUP(ROUND(Fares!$B$3+Fares!$B$20-3.2,1)-0.000000001,0)))+1))</f>
        <v/>
      </c>
      <c r="U5">
        <f>Rides!$B$3/Rides!$B$41*Rides!$B$21/Rides!$B$41*(Fares!$C$3+Fares!$C$21-INDEX(Fares!$C$2:$C$40,MIN(38,MAX(0,ROUNDUP(ROUND(Fares!$B$3+Fares!$B$21-3.2,1)-0.000000001,0)))+1))</f>
        <v/>
      </c>
      <c r="V5">
        <f>Rides!$B$3/Rides!$B$41*Rides!$B$22/Rides!$B$41*(Fares!$C$3+Fares!$C$22-INDEX(Fares!$C$2:$C$40,MIN(38,MAX(0,ROUNDUP(ROUND(Fares!$B$3+Fares!$B$22-3.2,1)-0.000000001,0)))+1))</f>
        <v/>
      </c>
      <c r="W5">
        <f>Rides!$B$3/Rides!$B$41*Rides!$B$23/Rides!$B$41*(Fares!$C$3+Fares!$C$23-INDEX(Fares!$C$2:$C$40,MIN(38,MAX(0,ROUNDUP(ROUND(Fares!$B$3+Fares!$B$23-3.2,1)-0.000000001,0)))+1))</f>
        <v/>
      </c>
      <c r="X5">
        <f>Rides!$B$3/Rides!$B$41*Rides!$B$24/Rides!$B$41*(Fares!$C$3+Fares!$C$24-INDEX(Fares!$C$2:$C$40,MIN(38,MAX(0,ROUNDUP(ROUND(Fares!$B$3+Fares!$B$24-3.2,1)-0.000000001,0)))+1))</f>
        <v/>
      </c>
      <c r="Y5">
        <f>Rides!$B$3/Rides!$B$41*Rides!$B$25/Rides!$B$41*(Fares!$C$3+Fares!$C$25-INDEX(Fares!$C$2:$C$40,MIN(38,MAX(0,ROUNDUP(ROUND(Fares!$B$3+Fares!$B$25-3.2,1)-0.000000001,0)))+1))</f>
        <v/>
      </c>
      <c r="Z5">
        <f>Rides!$B$3/Rides!$B$41*Rides!$B$26/Rides!$B$41*(Fares!$C$3+Fares!$C$26-INDEX(Fares!$C$2:$C$40,MIN(38,MAX(0,ROUNDUP(ROUND(Fares!$B$3+Fares!$B$26-3.2,1)-0.000000001,0)))+1))</f>
        <v/>
      </c>
      <c r="AA5">
        <f>Rides!$B$3/Rides!$B$41*Rides!$B$27/Rides!$B$41*(Fares!$C$3+Fares!$C$27-INDEX(Fares!$C$2:$C$40,MIN(38,MAX(0,ROUNDUP(ROUND(Fares!$B$3+Fares!$B$27-3.2,1)-0.000000001,0)))+1))</f>
        <v/>
      </c>
      <c r="AB5">
        <f>Rides!$B$3/Rides!$B$41*Rides!$B$28/Rides!$B$41*(Fares!$C$3+Fares!$C$28-INDEX(Fares!$C$2:$C$40,MIN(38,MAX(0,ROUNDUP(ROUND(Fares!$B$3+Fares!$B$28-3.2,1)-0.000000001,0)))+1))</f>
        <v/>
      </c>
      <c r="AC5">
        <f>Rides!$B$3/Rides!$B$41*Rides!$B$29/Rides!$B$41*(Fares!$C$3+Fares!$C$29-INDEX(Fares!$C$2:$C$40,MIN(38,MAX(0,ROUNDUP(ROUND(Fares!$B$3+Fares!$B$29-3.2,1)-0.000000001,0)))+1))</f>
        <v/>
      </c>
      <c r="AD5">
        <f>Rides!$B$3/Rides!$B$41*Rides!$B$30/Rides!$B$41*(Fares!$C$3+Fares!$C$30-INDEX(Fares!$C$2:$C$40,MIN(38,MAX(0,ROUNDUP(ROUND(Fares!$B$3+Fares!$B$30-3.2,1)-0.000000001,0)))+1))</f>
        <v/>
      </c>
      <c r="AE5">
        <f>Rides!$B$3/Rides!$B$41*Rides!$B$31/Rides!$B$41*(Fares!$C$3+Fares!$C$31-INDEX(Fares!$C$2:$C$40,MIN(38,MAX(0,ROUNDUP(ROUND(Fares!$B$3+Fares!$B$31-3.2,1)-0.000000001,0)))+1))</f>
        <v/>
      </c>
      <c r="AF5">
        <f>Rides!$B$3/Rides!$B$41*Rides!$B$32/Rides!$B$41*(Fares!$C$3+Fares!$C$32-INDEX(Fares!$C$2:$C$40,MIN(38,MAX(0,ROUNDUP(ROUND(Fares!$B$3+Fares!$B$32-3.2,1)-0.000000001,0)))+1))</f>
        <v/>
      </c>
      <c r="AG5">
        <f>Rides!$B$3/Rides!$B$41*Rides!$B$33/Rides!$B$41*(Fares!$C$3+Fares!$C$33-INDEX(Fares!$C$2:$C$40,MIN(38,MAX(0,ROUNDUP(ROUND(Fares!$B$3+Fares!$B$33-3.2,1)-0.000000001,0)))+1))</f>
        <v/>
      </c>
      <c r="AH5">
        <f>Rides!$B$3/Rides!$B$41*Rides!$B$34/Rides!$B$41*(Fares!$C$3+Fares!$C$34-INDEX(Fares!$C$2:$C$40,MIN(38,MAX(0,ROUNDUP(ROUND(Fares!$B$3+Fares!$B$34-3.2,1)-0.000000001,0)))+1))</f>
        <v/>
      </c>
      <c r="AI5">
        <f>Rides!$B$3/Rides!$B$41*Rides!$B$35/Rides!$B$41*(Fares!$C$3+Fares!$C$35-INDEX(Fares!$C$2:$C$40,MIN(38,MAX(0,ROUNDUP(ROUND(Fares!$B$3+Fares!$B$35-3.2,1)-0.000000001,0)))+1))</f>
        <v/>
      </c>
      <c r="AJ5">
        <f>Rides!$B$3/Rides!$B$41*Rides!$B$36/Rides!$B$41*(Fares!$C$3+Fares!$C$36-INDEX(Fares!$C$2:$C$40,MIN(38,MAX(0,ROUNDUP(ROUND(Fares!$B$3+Fares!$B$36-3.2,1)-0.000000001,0)))+1))</f>
        <v/>
      </c>
      <c r="AK5">
        <f>Rides!$B$3/Rides!$B$41*Rides!$B$37/Rides!$B$41*(Fares!$C$3+Fares!$C$37-INDEX(Fares!$C$2:$C$40,MIN(38,MAX(0,ROUNDUP(ROUND(Fares!$B$3+Fares!$B$37-3.2,1)-0.000000001,0)))+1))</f>
        <v/>
      </c>
      <c r="AL5">
        <f>Rides!$B$3/Rides!$B$41*Rides!$B$38/Rides!$B$41*(Fares!$C$3+Fares!$C$38-INDEX(Fares!$C$2:$C$40,MIN(38,MAX(0,ROUNDUP(ROUND(Fares!$B$3+Fares!$B$38-3.2,1)-0.000000001,0)))+1))</f>
        <v/>
      </c>
      <c r="AM5">
        <f>Rides!$B$3/Rides!$B$41*Rides!$B$39/Rides!$B$41*(Fares!$C$3+Fares!$C$39-INDEX(Fares!$C$2:$C$40,MIN(38,MAX(0,ROUNDUP(ROUND(Fares!$B$3+Fares!$B$39-3.2,1)-0.000000001,0)))+1))</f>
        <v/>
      </c>
      <c r="AN5">
        <f>Rides!$B$3/Rides!$B$41*Rides!$B$40/Rides!$B$41*(Fares!$C$3+Fares!$C$40-INDEX(Fares!$C$2:$C$40,MIN(38,MAX(0,ROUNDUP(ROUND(Fares!$B$3+Fares!$B$40-3.2,1)-0.000000001,0)))+1))</f>
        <v/>
      </c>
    </row>
    <row r="6">
      <c r="A6">
        <f>Fares!$B$4</f>
        <v/>
      </c>
      <c r="B6">
        <f>Rides!$B$4/Rides!$B$41*Rides!$B$2/Rides!$B$41*(Fares!$C$4+Fares!$C$2-INDEX(Fares!$C$2:$C$40,MIN(38,MAX(0,ROUNDUP(ROUND(Fares!$B$4+Fares!$B$2-3.2,1)-0.000000001,0)))+1))</f>
        <v/>
      </c>
      <c r="C6">
        <f>Rides!$B$4/Rides!$B$41*Rides!$B$3/Rides!$B$41*(Fares!$C$4+Fares!$C$3-INDEX(Fares!$C$2:$C$40,MIN(38,MAX(0,ROUNDUP(ROUND(Fares!$B$4+Fares!$B$3-3.2,1)-0.000000001,0)))+1))</f>
        <v/>
      </c>
      <c r="D6">
        <f>Rides!$B$4/Rides!$B$41*Rides!$B$4/Rides!$B$41*(Fares!$C$4+Fares!$C$4-INDEX(Fares!$C$2:$C$40,MIN(38,MAX(0,ROUNDUP(ROUND(Fares!$B$4+Fares!$B$4-3.2,1)-0.000000001,0)))+1))</f>
        <v/>
      </c>
      <c r="E6">
        <f>Rides!$B$4/Rides!$B$41*Rides!$B$5/Rides!$B$41*(Fares!$C$4+Fares!$C$5-INDEX(Fares!$C$2:$C$40,MIN(38,MAX(0,ROUNDUP(ROUND(Fares!$B$4+Fares!$B$5-3.2,1)-0.000000001,0)))+1))</f>
        <v/>
      </c>
      <c r="F6">
        <f>Rides!$B$4/Rides!$B$41*Rides!$B$6/Rides!$B$41*(Fares!$C$4+Fares!$C$6-INDEX(Fares!$C$2:$C$40,MIN(38,MAX(0,ROUNDUP(ROUND(Fares!$B$4+Fares!$B$6-3.2,1)-0.000000001,0)))+1))</f>
        <v/>
      </c>
      <c r="G6">
        <f>Rides!$B$4/Rides!$B$41*Rides!$B$7/Rides!$B$41*(Fares!$C$4+Fares!$C$7-INDEX(Fares!$C$2:$C$40,MIN(38,MAX(0,ROUNDUP(ROUND(Fares!$B$4+Fares!$B$7-3.2,1)-0.000000001,0)))+1))</f>
        <v/>
      </c>
      <c r="H6">
        <f>Rides!$B$4/Rides!$B$41*Rides!$B$8/Rides!$B$41*(Fares!$C$4+Fares!$C$8-INDEX(Fares!$C$2:$C$40,MIN(38,MAX(0,ROUNDUP(ROUND(Fares!$B$4+Fares!$B$8-3.2,1)-0.000000001,0)))+1))</f>
        <v/>
      </c>
      <c r="I6">
        <f>Rides!$B$4/Rides!$B$41*Rides!$B$9/Rides!$B$41*(Fares!$C$4+Fares!$C$9-INDEX(Fares!$C$2:$C$40,MIN(38,MAX(0,ROUNDUP(ROUND(Fares!$B$4+Fares!$B$9-3.2,1)-0.000000001,0)))+1))</f>
        <v/>
      </c>
      <c r="J6">
        <f>Rides!$B$4/Rides!$B$41*Rides!$B$10/Rides!$B$41*(Fares!$C$4+Fares!$C$10-INDEX(Fares!$C$2:$C$40,MIN(38,MAX(0,ROUNDUP(ROUND(Fares!$B$4+Fares!$B$10-3.2,1)-0.000000001,0)))+1))</f>
        <v/>
      </c>
      <c r="K6">
        <f>Rides!$B$4/Rides!$B$41*Rides!$B$11/Rides!$B$41*(Fares!$C$4+Fares!$C$11-INDEX(Fares!$C$2:$C$40,MIN(38,MAX(0,ROUNDUP(ROUND(Fares!$B$4+Fares!$B$11-3.2,1)-0.000000001,0)))+1))</f>
        <v/>
      </c>
      <c r="L6">
        <f>Rides!$B$4/Rides!$B$41*Rides!$B$12/Rides!$B$41*(Fares!$C$4+Fares!$C$12-INDEX(Fares!$C$2:$C$40,MIN(38,MAX(0,ROUNDUP(ROUND(Fares!$B$4+Fares!$B$12-3.2,1)-0.000000001,0)))+1))</f>
        <v/>
      </c>
      <c r="M6">
        <f>Rides!$B$4/Rides!$B$41*Rides!$B$13/Rides!$B$41*(Fares!$C$4+Fares!$C$13-INDEX(Fares!$C$2:$C$40,MIN(38,MAX(0,ROUNDUP(ROUND(Fares!$B$4+Fares!$B$13-3.2,1)-0.000000001,0)))+1))</f>
        <v/>
      </c>
      <c r="N6">
        <f>Rides!$B$4/Rides!$B$41*Rides!$B$14/Rides!$B$41*(Fares!$C$4+Fares!$C$14-INDEX(Fares!$C$2:$C$40,MIN(38,MAX(0,ROUNDUP(ROUND(Fares!$B$4+Fares!$B$14-3.2,1)-0.000000001,0)))+1))</f>
        <v/>
      </c>
      <c r="O6">
        <f>Rides!$B$4/Rides!$B$41*Rides!$B$15/Rides!$B$41*(Fares!$C$4+Fares!$C$15-INDEX(Fares!$C$2:$C$40,MIN(38,MAX(0,ROUNDUP(ROUND(Fares!$B$4+Fares!$B$15-3.2,1)-0.000000001,0)))+1))</f>
        <v/>
      </c>
      <c r="P6">
        <f>Rides!$B$4/Rides!$B$41*Rides!$B$16/Rides!$B$41*(Fares!$C$4+Fares!$C$16-INDEX(Fares!$C$2:$C$40,MIN(38,MAX(0,ROUNDUP(ROUND(Fares!$B$4+Fares!$B$16-3.2,1)-0.000000001,0)))+1))</f>
        <v/>
      </c>
      <c r="Q6">
        <f>Rides!$B$4/Rides!$B$41*Rides!$B$17/Rides!$B$41*(Fares!$C$4+Fares!$C$17-INDEX(Fares!$C$2:$C$40,MIN(38,MAX(0,ROUNDUP(ROUND(Fares!$B$4+Fares!$B$17-3.2,1)-0.000000001,0)))+1))</f>
        <v/>
      </c>
      <c r="R6">
        <f>Rides!$B$4/Rides!$B$41*Rides!$B$18/Rides!$B$41*(Fares!$C$4+Fares!$C$18-INDEX(Fares!$C$2:$C$40,MIN(38,MAX(0,ROUNDUP(ROUND(Fares!$B$4+Fares!$B$18-3.2,1)-0.000000001,0)))+1))</f>
        <v/>
      </c>
      <c r="S6">
        <f>Rides!$B$4/Rides!$B$41*Rides!$B$19/Rides!$B$41*(Fares!$C$4+Fares!$C$19-INDEX(Fares!$C$2:$C$40,MIN(38,MAX(0,ROUNDUP(ROUND(Fares!$B$4+Fares!$B$19-3.2,1)-0.000000001,0)))+1))</f>
        <v/>
      </c>
      <c r="T6">
        <f>Rides!$B$4/Rides!$B$41*Rides!$B$20/Rides!$B$41*(Fares!$C$4+Fares!$C$20-INDEX(Fares!$C$2:$C$40,MIN(38,MAX(0,ROUNDUP(ROUND(Fares!$B$4+Fares!$B$20-3.2,1)-0.000000001,0)))+1))</f>
        <v/>
      </c>
      <c r="U6">
        <f>Rides!$B$4/Rides!$B$41*Rides!$B$21/Rides!$B$41*(Fares!$C$4+Fares!$C$21-INDEX(Fares!$C$2:$C$40,MIN(38,MAX(0,ROUNDUP(ROUND(Fares!$B$4+Fares!$B$21-3.2,1)-0.000000001,0)))+1))</f>
        <v/>
      </c>
      <c r="V6">
        <f>Rides!$B$4/Rides!$B$41*Rides!$B$22/Rides!$B$41*(Fares!$C$4+Fares!$C$22-INDEX(Fares!$C$2:$C$40,MIN(38,MAX(0,ROUNDUP(ROUND(Fares!$B$4+Fares!$B$22-3.2,1)-0.000000001,0)))+1))</f>
        <v/>
      </c>
      <c r="W6">
        <f>Rides!$B$4/Rides!$B$41*Rides!$B$23/Rides!$B$41*(Fares!$C$4+Fares!$C$23-INDEX(Fares!$C$2:$C$40,MIN(38,MAX(0,ROUNDUP(ROUND(Fares!$B$4+Fares!$B$23-3.2,1)-0.000000001,0)))+1))</f>
        <v/>
      </c>
      <c r="X6">
        <f>Rides!$B$4/Rides!$B$41*Rides!$B$24/Rides!$B$41*(Fares!$C$4+Fares!$C$24-INDEX(Fares!$C$2:$C$40,MIN(38,MAX(0,ROUNDUP(ROUND(Fares!$B$4+Fares!$B$24-3.2,1)-0.000000001,0)))+1))</f>
        <v/>
      </c>
      <c r="Y6">
        <f>Rides!$B$4/Rides!$B$41*Rides!$B$25/Rides!$B$41*(Fares!$C$4+Fares!$C$25-INDEX(Fares!$C$2:$C$40,MIN(38,MAX(0,ROUNDUP(ROUND(Fares!$B$4+Fares!$B$25-3.2,1)-0.000000001,0)))+1))</f>
        <v/>
      </c>
      <c r="Z6">
        <f>Rides!$B$4/Rides!$B$41*Rides!$B$26/Rides!$B$41*(Fares!$C$4+Fares!$C$26-INDEX(Fares!$C$2:$C$40,MIN(38,MAX(0,ROUNDUP(ROUND(Fares!$B$4+Fares!$B$26-3.2,1)-0.000000001,0)))+1))</f>
        <v/>
      </c>
      <c r="AA6">
        <f>Rides!$B$4/Rides!$B$41*Rides!$B$27/Rides!$B$41*(Fares!$C$4+Fares!$C$27-INDEX(Fares!$C$2:$C$40,MIN(38,MAX(0,ROUNDUP(ROUND(Fares!$B$4+Fares!$B$27-3.2,1)-0.000000001,0)))+1))</f>
        <v/>
      </c>
      <c r="AB6">
        <f>Rides!$B$4/Rides!$B$41*Rides!$B$28/Rides!$B$41*(Fares!$C$4+Fares!$C$28-INDEX(Fares!$C$2:$C$40,MIN(38,MAX(0,ROUNDUP(ROUND(Fares!$B$4+Fares!$B$28-3.2,1)-0.000000001,0)))+1))</f>
        <v/>
      </c>
      <c r="AC6">
        <f>Rides!$B$4/Rides!$B$41*Rides!$B$29/Rides!$B$41*(Fares!$C$4+Fares!$C$29-INDEX(Fares!$C$2:$C$40,MIN(38,MAX(0,ROUNDUP(ROUND(Fares!$B$4+Fares!$B$29-3.2,1)-0.000000001,0)))+1))</f>
        <v/>
      </c>
      <c r="AD6">
        <f>Rides!$B$4/Rides!$B$41*Rides!$B$30/Rides!$B$41*(Fares!$C$4+Fares!$C$30-INDEX(Fares!$C$2:$C$40,MIN(38,MAX(0,ROUNDUP(ROUND(Fares!$B$4+Fares!$B$30-3.2,1)-0.000000001,0)))+1))</f>
        <v/>
      </c>
      <c r="AE6">
        <f>Rides!$B$4/Rides!$B$41*Rides!$B$31/Rides!$B$41*(Fares!$C$4+Fares!$C$31-INDEX(Fares!$C$2:$C$40,MIN(38,MAX(0,ROUNDUP(ROUND(Fares!$B$4+Fares!$B$31-3.2,1)-0.000000001,0)))+1))</f>
        <v/>
      </c>
      <c r="AF6">
        <f>Rides!$B$4/Rides!$B$41*Rides!$B$32/Rides!$B$41*(Fares!$C$4+Fares!$C$32-INDEX(Fares!$C$2:$C$40,MIN(38,MAX(0,ROUNDUP(ROUND(Fares!$B$4+Fares!$B$32-3.2,1)-0.000000001,0)))+1))</f>
        <v/>
      </c>
      <c r="AG6">
        <f>Rides!$B$4/Rides!$B$41*Rides!$B$33/Rides!$B$41*(Fares!$C$4+Fares!$C$33-INDEX(Fares!$C$2:$C$40,MIN(38,MAX(0,ROUNDUP(ROUND(Fares!$B$4+Fares!$B$33-3.2,1)-0.000000001,0)))+1))</f>
        <v/>
      </c>
      <c r="AH6">
        <f>Rides!$B$4/Rides!$B$41*Rides!$B$34/Rides!$B$41*(Fares!$C$4+Fares!$C$34-INDEX(Fares!$C$2:$C$40,MIN(38,MAX(0,ROUNDUP(ROUND(Fares!$B$4+Fares!$B$34-3.2,1)-0.000000001,0)))+1))</f>
        <v/>
      </c>
      <c r="AI6">
        <f>Rides!$B$4/Rides!$B$41*Rides!$B$35/Rides!$B$41*(Fares!$C$4+Fares!$C$35-INDEX(Fares!$C$2:$C$40,MIN(38,MAX(0,ROUNDUP(ROUND(Fares!$B$4+Fares!$B$35-3.2,1)-0.000000001,0)))+1))</f>
        <v/>
      </c>
      <c r="AJ6">
        <f>Rides!$B$4/Rides!$B$41*Rides!$B$36/Rides!$B$41*(Fares!$C$4+Fares!$C$36-INDEX(Fares!$C$2:$C$40,MIN(38,MAX(0,ROUNDUP(ROUND(Fares!$B$4+Fares!$B$36-3.2,1)-0.000000001,0)))+1))</f>
        <v/>
      </c>
      <c r="AK6">
        <f>Rides!$B$4/Rides!$B$41*Rides!$B$37/Rides!$B$41*(Fares!$C$4+Fares!$C$37-INDEX(Fares!$C$2:$C$40,MIN(38,MAX(0,ROUNDUP(ROUND(Fares!$B$4+Fares!$B$37-3.2,1)-0.000000001,0)))+1))</f>
        <v/>
      </c>
      <c r="AL6">
        <f>Rides!$B$4/Rides!$B$41*Rides!$B$38/Rides!$B$41*(Fares!$C$4+Fares!$C$38-INDEX(Fares!$C$2:$C$40,MIN(38,MAX(0,ROUNDUP(ROUND(Fares!$B$4+Fares!$B$38-3.2,1)-0.000000001,0)))+1))</f>
        <v/>
      </c>
      <c r="AM6">
        <f>Rides!$B$4/Rides!$B$41*Rides!$B$39/Rides!$B$41*(Fares!$C$4+Fares!$C$39-INDEX(Fares!$C$2:$C$40,MIN(38,MAX(0,ROUNDUP(ROUND(Fares!$B$4+Fares!$B$39-3.2,1)-0.000000001,0)))+1))</f>
        <v/>
      </c>
      <c r="AN6">
        <f>Rides!$B$4/Rides!$B$41*Rides!$B$40/Rides!$B$41*(Fares!$C$4+Fares!$C$40-INDEX(Fares!$C$2:$C$40,MIN(38,MAX(0,ROUNDUP(ROUND(Fares!$B$4+Fares!$B$40-3.2,1)-0.000000001,0)))+1))</f>
        <v/>
      </c>
    </row>
    <row r="7">
      <c r="A7">
        <f>Fares!$B$5</f>
        <v/>
      </c>
      <c r="B7">
        <f>Rides!$B$5/Rides!$B$41*Rides!$B$2/Rides!$B$41*(Fares!$C$5+Fares!$C$2-INDEX(Fares!$C$2:$C$40,MIN(38,MAX(0,ROUNDUP(ROUND(Fares!$B$5+Fares!$B$2-3.2,1)-0.000000001,0)))+1))</f>
        <v/>
      </c>
      <c r="C7">
        <f>Rides!$B$5/Rides!$B$41*Rides!$B$3/Rides!$B$41*(Fares!$C$5+Fares!$C$3-INDEX(Fares!$C$2:$C$40,MIN(38,MAX(0,ROUNDUP(ROUND(Fares!$B$5+Fares!$B$3-3.2,1)-0.000000001,0)))+1))</f>
        <v/>
      </c>
      <c r="D7">
        <f>Rides!$B$5/Rides!$B$41*Rides!$B$4/Rides!$B$41*(Fares!$C$5+Fares!$C$4-INDEX(Fares!$C$2:$C$40,MIN(38,MAX(0,ROUNDUP(ROUND(Fares!$B$5+Fares!$B$4-3.2,1)-0.000000001,0)))+1))</f>
        <v/>
      </c>
      <c r="E7">
        <f>Rides!$B$5/Rides!$B$41*Rides!$B$5/Rides!$B$41*(Fares!$C$5+Fares!$C$5-INDEX(Fares!$C$2:$C$40,MIN(38,MAX(0,ROUNDUP(ROUND(Fares!$B$5+Fares!$B$5-3.2,1)-0.000000001,0)))+1))</f>
        <v/>
      </c>
      <c r="F7">
        <f>Rides!$B$5/Rides!$B$41*Rides!$B$6/Rides!$B$41*(Fares!$C$5+Fares!$C$6-INDEX(Fares!$C$2:$C$40,MIN(38,MAX(0,ROUNDUP(ROUND(Fares!$B$5+Fares!$B$6-3.2,1)-0.000000001,0)))+1))</f>
        <v/>
      </c>
      <c r="G7">
        <f>Rides!$B$5/Rides!$B$41*Rides!$B$7/Rides!$B$41*(Fares!$C$5+Fares!$C$7-INDEX(Fares!$C$2:$C$40,MIN(38,MAX(0,ROUNDUP(ROUND(Fares!$B$5+Fares!$B$7-3.2,1)-0.000000001,0)))+1))</f>
        <v/>
      </c>
      <c r="H7">
        <f>Rides!$B$5/Rides!$B$41*Rides!$B$8/Rides!$B$41*(Fares!$C$5+Fares!$C$8-INDEX(Fares!$C$2:$C$40,MIN(38,MAX(0,ROUNDUP(ROUND(Fares!$B$5+Fares!$B$8-3.2,1)-0.000000001,0)))+1))</f>
        <v/>
      </c>
      <c r="I7">
        <f>Rides!$B$5/Rides!$B$41*Rides!$B$9/Rides!$B$41*(Fares!$C$5+Fares!$C$9-INDEX(Fares!$C$2:$C$40,MIN(38,MAX(0,ROUNDUP(ROUND(Fares!$B$5+Fares!$B$9-3.2,1)-0.000000001,0)))+1))</f>
        <v/>
      </c>
      <c r="J7">
        <f>Rides!$B$5/Rides!$B$41*Rides!$B$10/Rides!$B$41*(Fares!$C$5+Fares!$C$10-INDEX(Fares!$C$2:$C$40,MIN(38,MAX(0,ROUNDUP(ROUND(Fares!$B$5+Fares!$B$10-3.2,1)-0.000000001,0)))+1))</f>
        <v/>
      </c>
      <c r="K7">
        <f>Rides!$B$5/Rides!$B$41*Rides!$B$11/Rides!$B$41*(Fares!$C$5+Fares!$C$11-INDEX(Fares!$C$2:$C$40,MIN(38,MAX(0,ROUNDUP(ROUND(Fares!$B$5+Fares!$B$11-3.2,1)-0.000000001,0)))+1))</f>
        <v/>
      </c>
      <c r="L7">
        <f>Rides!$B$5/Rides!$B$41*Rides!$B$12/Rides!$B$41*(Fares!$C$5+Fares!$C$12-INDEX(Fares!$C$2:$C$40,MIN(38,MAX(0,ROUNDUP(ROUND(Fares!$B$5+Fares!$B$12-3.2,1)-0.000000001,0)))+1))</f>
        <v/>
      </c>
      <c r="M7">
        <f>Rides!$B$5/Rides!$B$41*Rides!$B$13/Rides!$B$41*(Fares!$C$5+Fares!$C$13-INDEX(Fares!$C$2:$C$40,MIN(38,MAX(0,ROUNDUP(ROUND(Fares!$B$5+Fares!$B$13-3.2,1)-0.000000001,0)))+1))</f>
        <v/>
      </c>
      <c r="N7">
        <f>Rides!$B$5/Rides!$B$41*Rides!$B$14/Rides!$B$41*(Fares!$C$5+Fares!$C$14-INDEX(Fares!$C$2:$C$40,MIN(38,MAX(0,ROUNDUP(ROUND(Fares!$B$5+Fares!$B$14-3.2,1)-0.000000001,0)))+1))</f>
        <v/>
      </c>
      <c r="O7">
        <f>Rides!$B$5/Rides!$B$41*Rides!$B$15/Rides!$B$41*(Fares!$C$5+Fares!$C$15-INDEX(Fares!$C$2:$C$40,MIN(38,MAX(0,ROUNDUP(ROUND(Fares!$B$5+Fares!$B$15-3.2,1)-0.000000001,0)))+1))</f>
        <v/>
      </c>
      <c r="P7">
        <f>Rides!$B$5/Rides!$B$41*Rides!$B$16/Rides!$B$41*(Fares!$C$5+Fares!$C$16-INDEX(Fares!$C$2:$C$40,MIN(38,MAX(0,ROUNDUP(ROUND(Fares!$B$5+Fares!$B$16-3.2,1)-0.000000001,0)))+1))</f>
        <v/>
      </c>
      <c r="Q7">
        <f>Rides!$B$5/Rides!$B$41*Rides!$B$17/Rides!$B$41*(Fares!$C$5+Fares!$C$17-INDEX(Fares!$C$2:$C$40,MIN(38,MAX(0,ROUNDUP(ROUND(Fares!$B$5+Fares!$B$17-3.2,1)-0.000000001,0)))+1))</f>
        <v/>
      </c>
      <c r="R7">
        <f>Rides!$B$5/Rides!$B$41*Rides!$B$18/Rides!$B$41*(Fares!$C$5+Fares!$C$18-INDEX(Fares!$C$2:$C$40,MIN(38,MAX(0,ROUNDUP(ROUND(Fares!$B$5+Fares!$B$18-3.2,1)-0.000000001,0)))+1))</f>
        <v/>
      </c>
      <c r="S7">
        <f>Rides!$B$5/Rides!$B$41*Rides!$B$19/Rides!$B$41*(Fares!$C$5+Fares!$C$19-INDEX(Fares!$C$2:$C$40,MIN(38,MAX(0,ROUNDUP(ROUND(Fares!$B$5+Fares!$B$19-3.2,1)-0.000000001,0)))+1))</f>
        <v/>
      </c>
      <c r="T7">
        <f>Rides!$B$5/Rides!$B$41*Rides!$B$20/Rides!$B$41*(Fares!$C$5+Fares!$C$20-INDEX(Fares!$C$2:$C$40,MIN(38,MAX(0,ROUNDUP(ROUND(Fares!$B$5+Fares!$B$20-3.2,1)-0.000000001,0)))+1))</f>
        <v/>
      </c>
      <c r="U7">
        <f>Rides!$B$5/Rides!$B$41*Rides!$B$21/Rides!$B$41*(Fares!$C$5+Fares!$C$21-INDEX(Fares!$C$2:$C$40,MIN(38,MAX(0,ROUNDUP(ROUND(Fares!$B$5+Fares!$B$21-3.2,1)-0.000000001,0)))+1))</f>
        <v/>
      </c>
      <c r="V7">
        <f>Rides!$B$5/Rides!$B$41*Rides!$B$22/Rides!$B$41*(Fares!$C$5+Fares!$C$22-INDEX(Fares!$C$2:$C$40,MIN(38,MAX(0,ROUNDUP(ROUND(Fares!$B$5+Fares!$B$22-3.2,1)-0.000000001,0)))+1))</f>
        <v/>
      </c>
      <c r="W7">
        <f>Rides!$B$5/Rides!$B$41*Rides!$B$23/Rides!$B$41*(Fares!$C$5+Fares!$C$23-INDEX(Fares!$C$2:$C$40,MIN(38,MAX(0,ROUNDUP(ROUND(Fares!$B$5+Fares!$B$23-3.2,1)-0.000000001,0)))+1))</f>
        <v/>
      </c>
      <c r="X7">
        <f>Rides!$B$5/Rides!$B$41*Rides!$B$24/Rides!$B$41*(Fares!$C$5+Fares!$C$24-INDEX(Fares!$C$2:$C$40,MIN(38,MAX(0,ROUNDUP(ROUND(Fares!$B$5+Fares!$B$24-3.2,1)-0.000000001,0)))+1))</f>
        <v/>
      </c>
      <c r="Y7">
        <f>Rides!$B$5/Rides!$B$41*Rides!$B$25/Rides!$B$41*(Fares!$C$5+Fares!$C$25-INDEX(Fares!$C$2:$C$40,MIN(38,MAX(0,ROUNDUP(ROUND(Fares!$B$5+Fares!$B$25-3.2,1)-0.000000001,0)))+1))</f>
        <v/>
      </c>
      <c r="Z7">
        <f>Rides!$B$5/Rides!$B$41*Rides!$B$26/Rides!$B$41*(Fares!$C$5+Fares!$C$26-INDEX(Fares!$C$2:$C$40,MIN(38,MAX(0,ROUNDUP(ROUND(Fares!$B$5+Fares!$B$26-3.2,1)-0.000000001,0)))+1))</f>
        <v/>
      </c>
      <c r="AA7">
        <f>Rides!$B$5/Rides!$B$41*Rides!$B$27/Rides!$B$41*(Fares!$C$5+Fares!$C$27-INDEX(Fares!$C$2:$C$40,MIN(38,MAX(0,ROUNDUP(ROUND(Fares!$B$5+Fares!$B$27-3.2,1)-0.000000001,0)))+1))</f>
        <v/>
      </c>
      <c r="AB7">
        <f>Rides!$B$5/Rides!$B$41*Rides!$B$28/Rides!$B$41*(Fares!$C$5+Fares!$C$28-INDEX(Fares!$C$2:$C$40,MIN(38,MAX(0,ROUNDUP(ROUND(Fares!$B$5+Fares!$B$28-3.2,1)-0.000000001,0)))+1))</f>
        <v/>
      </c>
      <c r="AC7">
        <f>Rides!$B$5/Rides!$B$41*Rides!$B$29/Rides!$B$41*(Fares!$C$5+Fares!$C$29-INDEX(Fares!$C$2:$C$40,MIN(38,MAX(0,ROUNDUP(ROUND(Fares!$B$5+Fares!$B$29-3.2,1)-0.000000001,0)))+1))</f>
        <v/>
      </c>
      <c r="AD7">
        <f>Rides!$B$5/Rides!$B$41*Rides!$B$30/Rides!$B$41*(Fares!$C$5+Fares!$C$30-INDEX(Fares!$C$2:$C$40,MIN(38,MAX(0,ROUNDUP(ROUND(Fares!$B$5+Fares!$B$30-3.2,1)-0.000000001,0)))+1))</f>
        <v/>
      </c>
      <c r="AE7">
        <f>Rides!$B$5/Rides!$B$41*Rides!$B$31/Rides!$B$41*(Fares!$C$5+Fares!$C$31-INDEX(Fares!$C$2:$C$40,MIN(38,MAX(0,ROUNDUP(ROUND(Fares!$B$5+Fares!$B$31-3.2,1)-0.000000001,0)))+1))</f>
        <v/>
      </c>
      <c r="AF7">
        <f>Rides!$B$5/Rides!$B$41*Rides!$B$32/Rides!$B$41*(Fares!$C$5+Fares!$C$32-INDEX(Fares!$C$2:$C$40,MIN(38,MAX(0,ROUNDUP(ROUND(Fares!$B$5+Fares!$B$32-3.2,1)-0.000000001,0)))+1))</f>
        <v/>
      </c>
      <c r="AG7">
        <f>Rides!$B$5/Rides!$B$41*Rides!$B$33/Rides!$B$41*(Fares!$C$5+Fares!$C$33-INDEX(Fares!$C$2:$C$40,MIN(38,MAX(0,ROUNDUP(ROUND(Fares!$B$5+Fares!$B$33-3.2,1)-0.000000001,0)))+1))</f>
        <v/>
      </c>
      <c r="AH7">
        <f>Rides!$B$5/Rides!$B$41*Rides!$B$34/Rides!$B$41*(Fares!$C$5+Fares!$C$34-INDEX(Fares!$C$2:$C$40,MIN(38,MAX(0,ROUNDUP(ROUND(Fares!$B$5+Fares!$B$34-3.2,1)-0.000000001,0)))+1))</f>
        <v/>
      </c>
      <c r="AI7">
        <f>Rides!$B$5/Rides!$B$41*Rides!$B$35/Rides!$B$41*(Fares!$C$5+Fares!$C$35-INDEX(Fares!$C$2:$C$40,MIN(38,MAX(0,ROUNDUP(ROUND(Fares!$B$5+Fares!$B$35-3.2,1)-0.000000001,0)))+1))</f>
        <v/>
      </c>
      <c r="AJ7">
        <f>Rides!$B$5/Rides!$B$41*Rides!$B$36/Rides!$B$41*(Fares!$C$5+Fares!$C$36-INDEX(Fares!$C$2:$C$40,MIN(38,MAX(0,ROUNDUP(ROUND(Fares!$B$5+Fares!$B$36-3.2,1)-0.000000001,0)))+1))</f>
        <v/>
      </c>
      <c r="AK7">
        <f>Rides!$B$5/Rides!$B$41*Rides!$B$37/Rides!$B$41*(Fares!$C$5+Fares!$C$37-INDEX(Fares!$C$2:$C$40,MIN(38,MAX(0,ROUNDUP(ROUND(Fares!$B$5+Fares!$B$37-3.2,1)-0.000000001,0)))+1))</f>
        <v/>
      </c>
      <c r="AL7">
        <f>Rides!$B$5/Rides!$B$41*Rides!$B$38/Rides!$B$41*(Fares!$C$5+Fares!$C$38-INDEX(Fares!$C$2:$C$40,MIN(38,MAX(0,ROUNDUP(ROUND(Fares!$B$5+Fares!$B$38-3.2,1)-0.000000001,0)))+1))</f>
        <v/>
      </c>
      <c r="AM7">
        <f>Rides!$B$5/Rides!$B$41*Rides!$B$39/Rides!$B$41*(Fares!$C$5+Fares!$C$39-INDEX(Fares!$C$2:$C$40,MIN(38,MAX(0,ROUNDUP(ROUND(Fares!$B$5+Fares!$B$39-3.2,1)-0.000000001,0)))+1))</f>
        <v/>
      </c>
      <c r="AN7">
        <f>Rides!$B$5/Rides!$B$41*Rides!$B$40/Rides!$B$41*(Fares!$C$5+Fares!$C$40-INDEX(Fares!$C$2:$C$40,MIN(38,MAX(0,ROUNDUP(ROUND(Fares!$B$5+Fares!$B$40-3.2,1)-0.000000001,0)))+1))</f>
        <v/>
      </c>
    </row>
    <row r="8">
      <c r="A8">
        <f>Fares!$B$6</f>
        <v/>
      </c>
      <c r="B8">
        <f>Rides!$B$6/Rides!$B$41*Rides!$B$2/Rides!$B$41*(Fares!$C$6+Fares!$C$2-INDEX(Fares!$C$2:$C$40,MIN(38,MAX(0,ROUNDUP(ROUND(Fares!$B$6+Fares!$B$2-3.2,1)-0.000000001,0)))+1))</f>
        <v/>
      </c>
      <c r="C8">
        <f>Rides!$B$6/Rides!$B$41*Rides!$B$3/Rides!$B$41*(Fares!$C$6+Fares!$C$3-INDEX(Fares!$C$2:$C$40,MIN(38,MAX(0,ROUNDUP(ROUND(Fares!$B$6+Fares!$B$3-3.2,1)-0.000000001,0)))+1))</f>
        <v/>
      </c>
      <c r="D8">
        <f>Rides!$B$6/Rides!$B$41*Rides!$B$4/Rides!$B$41*(Fares!$C$6+Fares!$C$4-INDEX(Fares!$C$2:$C$40,MIN(38,MAX(0,ROUNDUP(ROUND(Fares!$B$6+Fares!$B$4-3.2,1)-0.000000001,0)))+1))</f>
        <v/>
      </c>
      <c r="E8">
        <f>Rides!$B$6/Rides!$B$41*Rides!$B$5/Rides!$B$41*(Fares!$C$6+Fares!$C$5-INDEX(Fares!$C$2:$C$40,MIN(38,MAX(0,ROUNDUP(ROUND(Fares!$B$6+Fares!$B$5-3.2,1)-0.000000001,0)))+1))</f>
        <v/>
      </c>
      <c r="F8">
        <f>Rides!$B$6/Rides!$B$41*Rides!$B$6/Rides!$B$41*(Fares!$C$6+Fares!$C$6-INDEX(Fares!$C$2:$C$40,MIN(38,MAX(0,ROUNDUP(ROUND(Fares!$B$6+Fares!$B$6-3.2,1)-0.000000001,0)))+1))</f>
        <v/>
      </c>
      <c r="G8">
        <f>Rides!$B$6/Rides!$B$41*Rides!$B$7/Rides!$B$41*(Fares!$C$6+Fares!$C$7-INDEX(Fares!$C$2:$C$40,MIN(38,MAX(0,ROUNDUP(ROUND(Fares!$B$6+Fares!$B$7-3.2,1)-0.000000001,0)))+1))</f>
        <v/>
      </c>
      <c r="H8">
        <f>Rides!$B$6/Rides!$B$41*Rides!$B$8/Rides!$B$41*(Fares!$C$6+Fares!$C$8-INDEX(Fares!$C$2:$C$40,MIN(38,MAX(0,ROUNDUP(ROUND(Fares!$B$6+Fares!$B$8-3.2,1)-0.000000001,0)))+1))</f>
        <v/>
      </c>
      <c r="I8">
        <f>Rides!$B$6/Rides!$B$41*Rides!$B$9/Rides!$B$41*(Fares!$C$6+Fares!$C$9-INDEX(Fares!$C$2:$C$40,MIN(38,MAX(0,ROUNDUP(ROUND(Fares!$B$6+Fares!$B$9-3.2,1)-0.000000001,0)))+1))</f>
        <v/>
      </c>
      <c r="J8">
        <f>Rides!$B$6/Rides!$B$41*Rides!$B$10/Rides!$B$41*(Fares!$C$6+Fares!$C$10-INDEX(Fares!$C$2:$C$40,MIN(38,MAX(0,ROUNDUP(ROUND(Fares!$B$6+Fares!$B$10-3.2,1)-0.000000001,0)))+1))</f>
        <v/>
      </c>
      <c r="K8">
        <f>Rides!$B$6/Rides!$B$41*Rides!$B$11/Rides!$B$41*(Fares!$C$6+Fares!$C$11-INDEX(Fares!$C$2:$C$40,MIN(38,MAX(0,ROUNDUP(ROUND(Fares!$B$6+Fares!$B$11-3.2,1)-0.000000001,0)))+1))</f>
        <v/>
      </c>
      <c r="L8">
        <f>Rides!$B$6/Rides!$B$41*Rides!$B$12/Rides!$B$41*(Fares!$C$6+Fares!$C$12-INDEX(Fares!$C$2:$C$40,MIN(38,MAX(0,ROUNDUP(ROUND(Fares!$B$6+Fares!$B$12-3.2,1)-0.000000001,0)))+1))</f>
        <v/>
      </c>
      <c r="M8">
        <f>Rides!$B$6/Rides!$B$41*Rides!$B$13/Rides!$B$41*(Fares!$C$6+Fares!$C$13-INDEX(Fares!$C$2:$C$40,MIN(38,MAX(0,ROUNDUP(ROUND(Fares!$B$6+Fares!$B$13-3.2,1)-0.000000001,0)))+1))</f>
        <v/>
      </c>
      <c r="N8">
        <f>Rides!$B$6/Rides!$B$41*Rides!$B$14/Rides!$B$41*(Fares!$C$6+Fares!$C$14-INDEX(Fares!$C$2:$C$40,MIN(38,MAX(0,ROUNDUP(ROUND(Fares!$B$6+Fares!$B$14-3.2,1)-0.000000001,0)))+1))</f>
        <v/>
      </c>
      <c r="O8">
        <f>Rides!$B$6/Rides!$B$41*Rides!$B$15/Rides!$B$41*(Fares!$C$6+Fares!$C$15-INDEX(Fares!$C$2:$C$40,MIN(38,MAX(0,ROUNDUP(ROUND(Fares!$B$6+Fares!$B$15-3.2,1)-0.000000001,0)))+1))</f>
        <v/>
      </c>
      <c r="P8">
        <f>Rides!$B$6/Rides!$B$41*Rides!$B$16/Rides!$B$41*(Fares!$C$6+Fares!$C$16-INDEX(Fares!$C$2:$C$40,MIN(38,MAX(0,ROUNDUP(ROUND(Fares!$B$6+Fares!$B$16-3.2,1)-0.000000001,0)))+1))</f>
        <v/>
      </c>
      <c r="Q8">
        <f>Rides!$B$6/Rides!$B$41*Rides!$B$17/Rides!$B$41*(Fares!$C$6+Fares!$C$17-INDEX(Fares!$C$2:$C$40,MIN(38,MAX(0,ROUNDUP(ROUND(Fares!$B$6+Fares!$B$17-3.2,1)-0.000000001,0)))+1))</f>
        <v/>
      </c>
      <c r="R8">
        <f>Rides!$B$6/Rides!$B$41*Rides!$B$18/Rides!$B$41*(Fares!$C$6+Fares!$C$18-INDEX(Fares!$C$2:$C$40,MIN(38,MAX(0,ROUNDUP(ROUND(Fares!$B$6+Fares!$B$18-3.2,1)-0.000000001,0)))+1))</f>
        <v/>
      </c>
      <c r="S8">
        <f>Rides!$B$6/Rides!$B$41*Rides!$B$19/Rides!$B$41*(Fares!$C$6+Fares!$C$19-INDEX(Fares!$C$2:$C$40,MIN(38,MAX(0,ROUNDUP(ROUND(Fares!$B$6+Fares!$B$19-3.2,1)-0.000000001,0)))+1))</f>
        <v/>
      </c>
      <c r="T8">
        <f>Rides!$B$6/Rides!$B$41*Rides!$B$20/Rides!$B$41*(Fares!$C$6+Fares!$C$20-INDEX(Fares!$C$2:$C$40,MIN(38,MAX(0,ROUNDUP(ROUND(Fares!$B$6+Fares!$B$20-3.2,1)-0.000000001,0)))+1))</f>
        <v/>
      </c>
      <c r="U8">
        <f>Rides!$B$6/Rides!$B$41*Rides!$B$21/Rides!$B$41*(Fares!$C$6+Fares!$C$21-INDEX(Fares!$C$2:$C$40,MIN(38,MAX(0,ROUNDUP(ROUND(Fares!$B$6+Fares!$B$21-3.2,1)-0.000000001,0)))+1))</f>
        <v/>
      </c>
      <c r="V8">
        <f>Rides!$B$6/Rides!$B$41*Rides!$B$22/Rides!$B$41*(Fares!$C$6+Fares!$C$22-INDEX(Fares!$C$2:$C$40,MIN(38,MAX(0,ROUNDUP(ROUND(Fares!$B$6+Fares!$B$22-3.2,1)-0.000000001,0)))+1))</f>
        <v/>
      </c>
      <c r="W8">
        <f>Rides!$B$6/Rides!$B$41*Rides!$B$23/Rides!$B$41*(Fares!$C$6+Fares!$C$23-INDEX(Fares!$C$2:$C$40,MIN(38,MAX(0,ROUNDUP(ROUND(Fares!$B$6+Fares!$B$23-3.2,1)-0.000000001,0)))+1))</f>
        <v/>
      </c>
      <c r="X8">
        <f>Rides!$B$6/Rides!$B$41*Rides!$B$24/Rides!$B$41*(Fares!$C$6+Fares!$C$24-INDEX(Fares!$C$2:$C$40,MIN(38,MAX(0,ROUNDUP(ROUND(Fares!$B$6+Fares!$B$24-3.2,1)-0.000000001,0)))+1))</f>
        <v/>
      </c>
      <c r="Y8">
        <f>Rides!$B$6/Rides!$B$41*Rides!$B$25/Rides!$B$41*(Fares!$C$6+Fares!$C$25-INDEX(Fares!$C$2:$C$40,MIN(38,MAX(0,ROUNDUP(ROUND(Fares!$B$6+Fares!$B$25-3.2,1)-0.000000001,0)))+1))</f>
        <v/>
      </c>
      <c r="Z8">
        <f>Rides!$B$6/Rides!$B$41*Rides!$B$26/Rides!$B$41*(Fares!$C$6+Fares!$C$26-INDEX(Fares!$C$2:$C$40,MIN(38,MAX(0,ROUNDUP(ROUND(Fares!$B$6+Fares!$B$26-3.2,1)-0.000000001,0)))+1))</f>
        <v/>
      </c>
      <c r="AA8">
        <f>Rides!$B$6/Rides!$B$41*Rides!$B$27/Rides!$B$41*(Fares!$C$6+Fares!$C$27-INDEX(Fares!$C$2:$C$40,MIN(38,MAX(0,ROUNDUP(ROUND(Fares!$B$6+Fares!$B$27-3.2,1)-0.000000001,0)))+1))</f>
        <v/>
      </c>
      <c r="AB8">
        <f>Rides!$B$6/Rides!$B$41*Rides!$B$28/Rides!$B$41*(Fares!$C$6+Fares!$C$28-INDEX(Fares!$C$2:$C$40,MIN(38,MAX(0,ROUNDUP(ROUND(Fares!$B$6+Fares!$B$28-3.2,1)-0.000000001,0)))+1))</f>
        <v/>
      </c>
      <c r="AC8">
        <f>Rides!$B$6/Rides!$B$41*Rides!$B$29/Rides!$B$41*(Fares!$C$6+Fares!$C$29-INDEX(Fares!$C$2:$C$40,MIN(38,MAX(0,ROUNDUP(ROUND(Fares!$B$6+Fares!$B$29-3.2,1)-0.000000001,0)))+1))</f>
        <v/>
      </c>
      <c r="AD8">
        <f>Rides!$B$6/Rides!$B$41*Rides!$B$30/Rides!$B$41*(Fares!$C$6+Fares!$C$30-INDEX(Fares!$C$2:$C$40,MIN(38,MAX(0,ROUNDUP(ROUND(Fares!$B$6+Fares!$B$30-3.2,1)-0.000000001,0)))+1))</f>
        <v/>
      </c>
      <c r="AE8">
        <f>Rides!$B$6/Rides!$B$41*Rides!$B$31/Rides!$B$41*(Fares!$C$6+Fares!$C$31-INDEX(Fares!$C$2:$C$40,MIN(38,MAX(0,ROUNDUP(ROUND(Fares!$B$6+Fares!$B$31-3.2,1)-0.000000001,0)))+1))</f>
        <v/>
      </c>
      <c r="AF8">
        <f>Rides!$B$6/Rides!$B$41*Rides!$B$32/Rides!$B$41*(Fares!$C$6+Fares!$C$32-INDEX(Fares!$C$2:$C$40,MIN(38,MAX(0,ROUNDUP(ROUND(Fares!$B$6+Fares!$B$32-3.2,1)-0.000000001,0)))+1))</f>
        <v/>
      </c>
      <c r="AG8">
        <f>Rides!$B$6/Rides!$B$41*Rides!$B$33/Rides!$B$41*(Fares!$C$6+Fares!$C$33-INDEX(Fares!$C$2:$C$40,MIN(38,MAX(0,ROUNDUP(ROUND(Fares!$B$6+Fares!$B$33-3.2,1)-0.000000001,0)))+1))</f>
        <v/>
      </c>
      <c r="AH8">
        <f>Rides!$B$6/Rides!$B$41*Rides!$B$34/Rides!$B$41*(Fares!$C$6+Fares!$C$34-INDEX(Fares!$C$2:$C$40,MIN(38,MAX(0,ROUNDUP(ROUND(Fares!$B$6+Fares!$B$34-3.2,1)-0.000000001,0)))+1))</f>
        <v/>
      </c>
      <c r="AI8">
        <f>Rides!$B$6/Rides!$B$41*Rides!$B$35/Rides!$B$41*(Fares!$C$6+Fares!$C$35-INDEX(Fares!$C$2:$C$40,MIN(38,MAX(0,ROUNDUP(ROUND(Fares!$B$6+Fares!$B$35-3.2,1)-0.000000001,0)))+1))</f>
        <v/>
      </c>
      <c r="AJ8">
        <f>Rides!$B$6/Rides!$B$41*Rides!$B$36/Rides!$B$41*(Fares!$C$6+Fares!$C$36-INDEX(Fares!$C$2:$C$40,MIN(38,MAX(0,ROUNDUP(ROUND(Fares!$B$6+Fares!$B$36-3.2,1)-0.000000001,0)))+1))</f>
        <v/>
      </c>
      <c r="AK8">
        <f>Rides!$B$6/Rides!$B$41*Rides!$B$37/Rides!$B$41*(Fares!$C$6+Fares!$C$37-INDEX(Fares!$C$2:$C$40,MIN(38,MAX(0,ROUNDUP(ROUND(Fares!$B$6+Fares!$B$37-3.2,1)-0.000000001,0)))+1))</f>
        <v/>
      </c>
      <c r="AL8">
        <f>Rides!$B$6/Rides!$B$41*Rides!$B$38/Rides!$B$41*(Fares!$C$6+Fares!$C$38-INDEX(Fares!$C$2:$C$40,MIN(38,MAX(0,ROUNDUP(ROUND(Fares!$B$6+Fares!$B$38-3.2,1)-0.000000001,0)))+1))</f>
        <v/>
      </c>
      <c r="AM8">
        <f>Rides!$B$6/Rides!$B$41*Rides!$B$39/Rides!$B$41*(Fares!$C$6+Fares!$C$39-INDEX(Fares!$C$2:$C$40,MIN(38,MAX(0,ROUNDUP(ROUND(Fares!$B$6+Fares!$B$39-3.2,1)-0.000000001,0)))+1))</f>
        <v/>
      </c>
      <c r="AN8">
        <f>Rides!$B$6/Rides!$B$41*Rides!$B$40/Rides!$B$41*(Fares!$C$6+Fares!$C$40-INDEX(Fares!$C$2:$C$40,MIN(38,MAX(0,ROUNDUP(ROUND(Fares!$B$6+Fares!$B$40-3.2,1)-0.000000001,0)))+1))</f>
        <v/>
      </c>
    </row>
    <row r="9">
      <c r="A9">
        <f>Fares!$B$7</f>
        <v/>
      </c>
      <c r="B9">
        <f>Rides!$B$7/Rides!$B$41*Rides!$B$2/Rides!$B$41*(Fares!$C$7+Fares!$C$2-INDEX(Fares!$C$2:$C$40,MIN(38,MAX(0,ROUNDUP(ROUND(Fares!$B$7+Fares!$B$2-3.2,1)-0.000000001,0)))+1))</f>
        <v/>
      </c>
      <c r="C9">
        <f>Rides!$B$7/Rides!$B$41*Rides!$B$3/Rides!$B$41*(Fares!$C$7+Fares!$C$3-INDEX(Fares!$C$2:$C$40,MIN(38,MAX(0,ROUNDUP(ROUND(Fares!$B$7+Fares!$B$3-3.2,1)-0.000000001,0)))+1))</f>
        <v/>
      </c>
      <c r="D9">
        <f>Rides!$B$7/Rides!$B$41*Rides!$B$4/Rides!$B$41*(Fares!$C$7+Fares!$C$4-INDEX(Fares!$C$2:$C$40,MIN(38,MAX(0,ROUNDUP(ROUND(Fares!$B$7+Fares!$B$4-3.2,1)-0.000000001,0)))+1))</f>
        <v/>
      </c>
      <c r="E9">
        <f>Rides!$B$7/Rides!$B$41*Rides!$B$5/Rides!$B$41*(Fares!$C$7+Fares!$C$5-INDEX(Fares!$C$2:$C$40,MIN(38,MAX(0,ROUNDUP(ROUND(Fares!$B$7+Fares!$B$5-3.2,1)-0.000000001,0)))+1))</f>
        <v/>
      </c>
      <c r="F9">
        <f>Rides!$B$7/Rides!$B$41*Rides!$B$6/Rides!$B$41*(Fares!$C$7+Fares!$C$6-INDEX(Fares!$C$2:$C$40,MIN(38,MAX(0,ROUNDUP(ROUND(Fares!$B$7+Fares!$B$6-3.2,1)-0.000000001,0)))+1))</f>
        <v/>
      </c>
      <c r="G9">
        <f>Rides!$B$7/Rides!$B$41*Rides!$B$7/Rides!$B$41*(Fares!$C$7+Fares!$C$7-INDEX(Fares!$C$2:$C$40,MIN(38,MAX(0,ROUNDUP(ROUND(Fares!$B$7+Fares!$B$7-3.2,1)-0.000000001,0)))+1))</f>
        <v/>
      </c>
      <c r="H9">
        <f>Rides!$B$7/Rides!$B$41*Rides!$B$8/Rides!$B$41*(Fares!$C$7+Fares!$C$8-INDEX(Fares!$C$2:$C$40,MIN(38,MAX(0,ROUNDUP(ROUND(Fares!$B$7+Fares!$B$8-3.2,1)-0.000000001,0)))+1))</f>
        <v/>
      </c>
      <c r="I9">
        <f>Rides!$B$7/Rides!$B$41*Rides!$B$9/Rides!$B$41*(Fares!$C$7+Fares!$C$9-INDEX(Fares!$C$2:$C$40,MIN(38,MAX(0,ROUNDUP(ROUND(Fares!$B$7+Fares!$B$9-3.2,1)-0.000000001,0)))+1))</f>
        <v/>
      </c>
      <c r="J9">
        <f>Rides!$B$7/Rides!$B$41*Rides!$B$10/Rides!$B$41*(Fares!$C$7+Fares!$C$10-INDEX(Fares!$C$2:$C$40,MIN(38,MAX(0,ROUNDUP(ROUND(Fares!$B$7+Fares!$B$10-3.2,1)-0.000000001,0)))+1))</f>
        <v/>
      </c>
      <c r="K9">
        <f>Rides!$B$7/Rides!$B$41*Rides!$B$11/Rides!$B$41*(Fares!$C$7+Fares!$C$11-INDEX(Fares!$C$2:$C$40,MIN(38,MAX(0,ROUNDUP(ROUND(Fares!$B$7+Fares!$B$11-3.2,1)-0.000000001,0)))+1))</f>
        <v/>
      </c>
      <c r="L9">
        <f>Rides!$B$7/Rides!$B$41*Rides!$B$12/Rides!$B$41*(Fares!$C$7+Fares!$C$12-INDEX(Fares!$C$2:$C$40,MIN(38,MAX(0,ROUNDUP(ROUND(Fares!$B$7+Fares!$B$12-3.2,1)-0.000000001,0)))+1))</f>
        <v/>
      </c>
      <c r="M9">
        <f>Rides!$B$7/Rides!$B$41*Rides!$B$13/Rides!$B$41*(Fares!$C$7+Fares!$C$13-INDEX(Fares!$C$2:$C$40,MIN(38,MAX(0,ROUNDUP(ROUND(Fares!$B$7+Fares!$B$13-3.2,1)-0.000000001,0)))+1))</f>
        <v/>
      </c>
      <c r="N9">
        <f>Rides!$B$7/Rides!$B$41*Rides!$B$14/Rides!$B$41*(Fares!$C$7+Fares!$C$14-INDEX(Fares!$C$2:$C$40,MIN(38,MAX(0,ROUNDUP(ROUND(Fares!$B$7+Fares!$B$14-3.2,1)-0.000000001,0)))+1))</f>
        <v/>
      </c>
      <c r="O9">
        <f>Rides!$B$7/Rides!$B$41*Rides!$B$15/Rides!$B$41*(Fares!$C$7+Fares!$C$15-INDEX(Fares!$C$2:$C$40,MIN(38,MAX(0,ROUNDUP(ROUND(Fares!$B$7+Fares!$B$15-3.2,1)-0.000000001,0)))+1))</f>
        <v/>
      </c>
      <c r="P9">
        <f>Rides!$B$7/Rides!$B$41*Rides!$B$16/Rides!$B$41*(Fares!$C$7+Fares!$C$16-INDEX(Fares!$C$2:$C$40,MIN(38,MAX(0,ROUNDUP(ROUND(Fares!$B$7+Fares!$B$16-3.2,1)-0.000000001,0)))+1))</f>
        <v/>
      </c>
      <c r="Q9">
        <f>Rides!$B$7/Rides!$B$41*Rides!$B$17/Rides!$B$41*(Fares!$C$7+Fares!$C$17-INDEX(Fares!$C$2:$C$40,MIN(38,MAX(0,ROUNDUP(ROUND(Fares!$B$7+Fares!$B$17-3.2,1)-0.000000001,0)))+1))</f>
        <v/>
      </c>
      <c r="R9">
        <f>Rides!$B$7/Rides!$B$41*Rides!$B$18/Rides!$B$41*(Fares!$C$7+Fares!$C$18-INDEX(Fares!$C$2:$C$40,MIN(38,MAX(0,ROUNDUP(ROUND(Fares!$B$7+Fares!$B$18-3.2,1)-0.000000001,0)))+1))</f>
        <v/>
      </c>
      <c r="S9">
        <f>Rides!$B$7/Rides!$B$41*Rides!$B$19/Rides!$B$41*(Fares!$C$7+Fares!$C$19-INDEX(Fares!$C$2:$C$40,MIN(38,MAX(0,ROUNDUP(ROUND(Fares!$B$7+Fares!$B$19-3.2,1)-0.000000001,0)))+1))</f>
        <v/>
      </c>
      <c r="T9">
        <f>Rides!$B$7/Rides!$B$41*Rides!$B$20/Rides!$B$41*(Fares!$C$7+Fares!$C$20-INDEX(Fares!$C$2:$C$40,MIN(38,MAX(0,ROUNDUP(ROUND(Fares!$B$7+Fares!$B$20-3.2,1)-0.000000001,0)))+1))</f>
        <v/>
      </c>
      <c r="U9">
        <f>Rides!$B$7/Rides!$B$41*Rides!$B$21/Rides!$B$41*(Fares!$C$7+Fares!$C$21-INDEX(Fares!$C$2:$C$40,MIN(38,MAX(0,ROUNDUP(ROUND(Fares!$B$7+Fares!$B$21-3.2,1)-0.000000001,0)))+1))</f>
        <v/>
      </c>
      <c r="V9">
        <f>Rides!$B$7/Rides!$B$41*Rides!$B$22/Rides!$B$41*(Fares!$C$7+Fares!$C$22-INDEX(Fares!$C$2:$C$40,MIN(38,MAX(0,ROUNDUP(ROUND(Fares!$B$7+Fares!$B$22-3.2,1)-0.000000001,0)))+1))</f>
        <v/>
      </c>
      <c r="W9">
        <f>Rides!$B$7/Rides!$B$41*Rides!$B$23/Rides!$B$41*(Fares!$C$7+Fares!$C$23-INDEX(Fares!$C$2:$C$40,MIN(38,MAX(0,ROUNDUP(ROUND(Fares!$B$7+Fares!$B$23-3.2,1)-0.000000001,0)))+1))</f>
        <v/>
      </c>
      <c r="X9">
        <f>Rides!$B$7/Rides!$B$41*Rides!$B$24/Rides!$B$41*(Fares!$C$7+Fares!$C$24-INDEX(Fares!$C$2:$C$40,MIN(38,MAX(0,ROUNDUP(ROUND(Fares!$B$7+Fares!$B$24-3.2,1)-0.000000001,0)))+1))</f>
        <v/>
      </c>
      <c r="Y9">
        <f>Rides!$B$7/Rides!$B$41*Rides!$B$25/Rides!$B$41*(Fares!$C$7+Fares!$C$25-INDEX(Fares!$C$2:$C$40,MIN(38,MAX(0,ROUNDUP(ROUND(Fares!$B$7+Fares!$B$25-3.2,1)-0.000000001,0)))+1))</f>
        <v/>
      </c>
      <c r="Z9">
        <f>Rides!$B$7/Rides!$B$41*Rides!$B$26/Rides!$B$41*(Fares!$C$7+Fares!$C$26-INDEX(Fares!$C$2:$C$40,MIN(38,MAX(0,ROUNDUP(ROUND(Fares!$B$7+Fares!$B$26-3.2,1)-0.000000001,0)))+1))</f>
        <v/>
      </c>
      <c r="AA9">
        <f>Rides!$B$7/Rides!$B$41*Rides!$B$27/Rides!$B$41*(Fares!$C$7+Fares!$C$27-INDEX(Fares!$C$2:$C$40,MIN(38,MAX(0,ROUNDUP(ROUND(Fares!$B$7+Fares!$B$27-3.2,1)-0.000000001,0)))+1))</f>
        <v/>
      </c>
      <c r="AB9">
        <f>Rides!$B$7/Rides!$B$41*Rides!$B$28/Rides!$B$41*(Fares!$C$7+Fares!$C$28-INDEX(Fares!$C$2:$C$40,MIN(38,MAX(0,ROUNDUP(ROUND(Fares!$B$7+Fares!$B$28-3.2,1)-0.000000001,0)))+1))</f>
        <v/>
      </c>
      <c r="AC9">
        <f>Rides!$B$7/Rides!$B$41*Rides!$B$29/Rides!$B$41*(Fares!$C$7+Fares!$C$29-INDEX(Fares!$C$2:$C$40,MIN(38,MAX(0,ROUNDUP(ROUND(Fares!$B$7+Fares!$B$29-3.2,1)-0.000000001,0)))+1))</f>
        <v/>
      </c>
      <c r="AD9">
        <f>Rides!$B$7/Rides!$B$41*Rides!$B$30/Rides!$B$41*(Fares!$C$7+Fares!$C$30-INDEX(Fares!$C$2:$C$40,MIN(38,MAX(0,ROUNDUP(ROUND(Fares!$B$7+Fares!$B$30-3.2,1)-0.000000001,0)))+1))</f>
        <v/>
      </c>
      <c r="AE9">
        <f>Rides!$B$7/Rides!$B$41*Rides!$B$31/Rides!$B$41*(Fares!$C$7+Fares!$C$31-INDEX(Fares!$C$2:$C$40,MIN(38,MAX(0,ROUNDUP(ROUND(Fares!$B$7+Fares!$B$31-3.2,1)-0.000000001,0)))+1))</f>
        <v/>
      </c>
      <c r="AF9">
        <f>Rides!$B$7/Rides!$B$41*Rides!$B$32/Rides!$B$41*(Fares!$C$7+Fares!$C$32-INDEX(Fares!$C$2:$C$40,MIN(38,MAX(0,ROUNDUP(ROUND(Fares!$B$7+Fares!$B$32-3.2,1)-0.000000001,0)))+1))</f>
        <v/>
      </c>
      <c r="AG9">
        <f>Rides!$B$7/Rides!$B$41*Rides!$B$33/Rides!$B$41*(Fares!$C$7+Fares!$C$33-INDEX(Fares!$C$2:$C$40,MIN(38,MAX(0,ROUNDUP(ROUND(Fares!$B$7+Fares!$B$33-3.2,1)-0.000000001,0)))+1))</f>
        <v/>
      </c>
      <c r="AH9">
        <f>Rides!$B$7/Rides!$B$41*Rides!$B$34/Rides!$B$41*(Fares!$C$7+Fares!$C$34-INDEX(Fares!$C$2:$C$40,MIN(38,MAX(0,ROUNDUP(ROUND(Fares!$B$7+Fares!$B$34-3.2,1)-0.000000001,0)))+1))</f>
        <v/>
      </c>
      <c r="AI9">
        <f>Rides!$B$7/Rides!$B$41*Rides!$B$35/Rides!$B$41*(Fares!$C$7+Fares!$C$35-INDEX(Fares!$C$2:$C$40,MIN(38,MAX(0,ROUNDUP(ROUND(Fares!$B$7+Fares!$B$35-3.2,1)-0.000000001,0)))+1))</f>
        <v/>
      </c>
      <c r="AJ9">
        <f>Rides!$B$7/Rides!$B$41*Rides!$B$36/Rides!$B$41*(Fares!$C$7+Fares!$C$36-INDEX(Fares!$C$2:$C$40,MIN(38,MAX(0,ROUNDUP(ROUND(Fares!$B$7+Fares!$B$36-3.2,1)-0.000000001,0)))+1))</f>
        <v/>
      </c>
      <c r="AK9">
        <f>Rides!$B$7/Rides!$B$41*Rides!$B$37/Rides!$B$41*(Fares!$C$7+Fares!$C$37-INDEX(Fares!$C$2:$C$40,MIN(38,MAX(0,ROUNDUP(ROUND(Fares!$B$7+Fares!$B$37-3.2,1)-0.000000001,0)))+1))</f>
        <v/>
      </c>
      <c r="AL9">
        <f>Rides!$B$7/Rides!$B$41*Rides!$B$38/Rides!$B$41*(Fares!$C$7+Fares!$C$38-INDEX(Fares!$C$2:$C$40,MIN(38,MAX(0,ROUNDUP(ROUND(Fares!$B$7+Fares!$B$38-3.2,1)-0.000000001,0)))+1))</f>
        <v/>
      </c>
      <c r="AM9">
        <f>Rides!$B$7/Rides!$B$41*Rides!$B$39/Rides!$B$41*(Fares!$C$7+Fares!$C$39-INDEX(Fares!$C$2:$C$40,MIN(38,MAX(0,ROUNDUP(ROUND(Fares!$B$7+Fares!$B$39-3.2,1)-0.000000001,0)))+1))</f>
        <v/>
      </c>
      <c r="AN9">
        <f>Rides!$B$7/Rides!$B$41*Rides!$B$40/Rides!$B$41*(Fares!$C$7+Fares!$C$40-INDEX(Fares!$C$2:$C$40,MIN(38,MAX(0,ROUNDUP(ROUND(Fares!$B$7+Fares!$B$40-3.2,1)-0.000000001,0)))+1))</f>
        <v/>
      </c>
    </row>
    <row r="10">
      <c r="A10">
        <f>Fares!$B$8</f>
        <v/>
      </c>
      <c r="B10">
        <f>Rides!$B$8/Rides!$B$41*Rides!$B$2/Rides!$B$41*(Fares!$C$8+Fares!$C$2-INDEX(Fares!$C$2:$C$40,MIN(38,MAX(0,ROUNDUP(ROUND(Fares!$B$8+Fares!$B$2-3.2,1)-0.000000001,0)))+1))</f>
        <v/>
      </c>
      <c r="C10">
        <f>Rides!$B$8/Rides!$B$41*Rides!$B$3/Rides!$B$41*(Fares!$C$8+Fares!$C$3-INDEX(Fares!$C$2:$C$40,MIN(38,MAX(0,ROUNDUP(ROUND(Fares!$B$8+Fares!$B$3-3.2,1)-0.000000001,0)))+1))</f>
        <v/>
      </c>
      <c r="D10">
        <f>Rides!$B$8/Rides!$B$41*Rides!$B$4/Rides!$B$41*(Fares!$C$8+Fares!$C$4-INDEX(Fares!$C$2:$C$40,MIN(38,MAX(0,ROUNDUP(ROUND(Fares!$B$8+Fares!$B$4-3.2,1)-0.000000001,0)))+1))</f>
        <v/>
      </c>
      <c r="E10">
        <f>Rides!$B$8/Rides!$B$41*Rides!$B$5/Rides!$B$41*(Fares!$C$8+Fares!$C$5-INDEX(Fares!$C$2:$C$40,MIN(38,MAX(0,ROUNDUP(ROUND(Fares!$B$8+Fares!$B$5-3.2,1)-0.000000001,0)))+1))</f>
        <v/>
      </c>
      <c r="F10">
        <f>Rides!$B$8/Rides!$B$41*Rides!$B$6/Rides!$B$41*(Fares!$C$8+Fares!$C$6-INDEX(Fares!$C$2:$C$40,MIN(38,MAX(0,ROUNDUP(ROUND(Fares!$B$8+Fares!$B$6-3.2,1)-0.000000001,0)))+1))</f>
        <v/>
      </c>
      <c r="G10">
        <f>Rides!$B$8/Rides!$B$41*Rides!$B$7/Rides!$B$41*(Fares!$C$8+Fares!$C$7-INDEX(Fares!$C$2:$C$40,MIN(38,MAX(0,ROUNDUP(ROUND(Fares!$B$8+Fares!$B$7-3.2,1)-0.000000001,0)))+1))</f>
        <v/>
      </c>
      <c r="H10">
        <f>Rides!$B$8/Rides!$B$41*Rides!$B$8/Rides!$B$41*(Fares!$C$8+Fares!$C$8-INDEX(Fares!$C$2:$C$40,MIN(38,MAX(0,ROUNDUP(ROUND(Fares!$B$8+Fares!$B$8-3.2,1)-0.000000001,0)))+1))</f>
        <v/>
      </c>
      <c r="I10">
        <f>Rides!$B$8/Rides!$B$41*Rides!$B$9/Rides!$B$41*(Fares!$C$8+Fares!$C$9-INDEX(Fares!$C$2:$C$40,MIN(38,MAX(0,ROUNDUP(ROUND(Fares!$B$8+Fares!$B$9-3.2,1)-0.000000001,0)))+1))</f>
        <v/>
      </c>
      <c r="J10">
        <f>Rides!$B$8/Rides!$B$41*Rides!$B$10/Rides!$B$41*(Fares!$C$8+Fares!$C$10-INDEX(Fares!$C$2:$C$40,MIN(38,MAX(0,ROUNDUP(ROUND(Fares!$B$8+Fares!$B$10-3.2,1)-0.000000001,0)))+1))</f>
        <v/>
      </c>
      <c r="K10">
        <f>Rides!$B$8/Rides!$B$41*Rides!$B$11/Rides!$B$41*(Fares!$C$8+Fares!$C$11-INDEX(Fares!$C$2:$C$40,MIN(38,MAX(0,ROUNDUP(ROUND(Fares!$B$8+Fares!$B$11-3.2,1)-0.000000001,0)))+1))</f>
        <v/>
      </c>
      <c r="L10">
        <f>Rides!$B$8/Rides!$B$41*Rides!$B$12/Rides!$B$41*(Fares!$C$8+Fares!$C$12-INDEX(Fares!$C$2:$C$40,MIN(38,MAX(0,ROUNDUP(ROUND(Fares!$B$8+Fares!$B$12-3.2,1)-0.000000001,0)))+1))</f>
        <v/>
      </c>
      <c r="M10">
        <f>Rides!$B$8/Rides!$B$41*Rides!$B$13/Rides!$B$41*(Fares!$C$8+Fares!$C$13-INDEX(Fares!$C$2:$C$40,MIN(38,MAX(0,ROUNDUP(ROUND(Fares!$B$8+Fares!$B$13-3.2,1)-0.000000001,0)))+1))</f>
        <v/>
      </c>
      <c r="N10">
        <f>Rides!$B$8/Rides!$B$41*Rides!$B$14/Rides!$B$41*(Fares!$C$8+Fares!$C$14-INDEX(Fares!$C$2:$C$40,MIN(38,MAX(0,ROUNDUP(ROUND(Fares!$B$8+Fares!$B$14-3.2,1)-0.000000001,0)))+1))</f>
        <v/>
      </c>
      <c r="O10">
        <f>Rides!$B$8/Rides!$B$41*Rides!$B$15/Rides!$B$41*(Fares!$C$8+Fares!$C$15-INDEX(Fares!$C$2:$C$40,MIN(38,MAX(0,ROUNDUP(ROUND(Fares!$B$8+Fares!$B$15-3.2,1)-0.000000001,0)))+1))</f>
        <v/>
      </c>
      <c r="P10">
        <f>Rides!$B$8/Rides!$B$41*Rides!$B$16/Rides!$B$41*(Fares!$C$8+Fares!$C$16-INDEX(Fares!$C$2:$C$40,MIN(38,MAX(0,ROUNDUP(ROUND(Fares!$B$8+Fares!$B$16-3.2,1)-0.000000001,0)))+1))</f>
        <v/>
      </c>
      <c r="Q10">
        <f>Rides!$B$8/Rides!$B$41*Rides!$B$17/Rides!$B$41*(Fares!$C$8+Fares!$C$17-INDEX(Fares!$C$2:$C$40,MIN(38,MAX(0,ROUNDUP(ROUND(Fares!$B$8+Fares!$B$17-3.2,1)-0.000000001,0)))+1))</f>
        <v/>
      </c>
      <c r="R10">
        <f>Rides!$B$8/Rides!$B$41*Rides!$B$18/Rides!$B$41*(Fares!$C$8+Fares!$C$18-INDEX(Fares!$C$2:$C$40,MIN(38,MAX(0,ROUNDUP(ROUND(Fares!$B$8+Fares!$B$18-3.2,1)-0.000000001,0)))+1))</f>
        <v/>
      </c>
      <c r="S10">
        <f>Rides!$B$8/Rides!$B$41*Rides!$B$19/Rides!$B$41*(Fares!$C$8+Fares!$C$19-INDEX(Fares!$C$2:$C$40,MIN(38,MAX(0,ROUNDUP(ROUND(Fares!$B$8+Fares!$B$19-3.2,1)-0.000000001,0)))+1))</f>
        <v/>
      </c>
      <c r="T10">
        <f>Rides!$B$8/Rides!$B$41*Rides!$B$20/Rides!$B$41*(Fares!$C$8+Fares!$C$20-INDEX(Fares!$C$2:$C$40,MIN(38,MAX(0,ROUNDUP(ROUND(Fares!$B$8+Fares!$B$20-3.2,1)-0.000000001,0)))+1))</f>
        <v/>
      </c>
      <c r="U10">
        <f>Rides!$B$8/Rides!$B$41*Rides!$B$21/Rides!$B$41*(Fares!$C$8+Fares!$C$21-INDEX(Fares!$C$2:$C$40,MIN(38,MAX(0,ROUNDUP(ROUND(Fares!$B$8+Fares!$B$21-3.2,1)-0.000000001,0)))+1))</f>
        <v/>
      </c>
      <c r="V10">
        <f>Rides!$B$8/Rides!$B$41*Rides!$B$22/Rides!$B$41*(Fares!$C$8+Fares!$C$22-INDEX(Fares!$C$2:$C$40,MIN(38,MAX(0,ROUNDUP(ROUND(Fares!$B$8+Fares!$B$22-3.2,1)-0.000000001,0)))+1))</f>
        <v/>
      </c>
      <c r="W10">
        <f>Rides!$B$8/Rides!$B$41*Rides!$B$23/Rides!$B$41*(Fares!$C$8+Fares!$C$23-INDEX(Fares!$C$2:$C$40,MIN(38,MAX(0,ROUNDUP(ROUND(Fares!$B$8+Fares!$B$23-3.2,1)-0.000000001,0)))+1))</f>
        <v/>
      </c>
      <c r="X10">
        <f>Rides!$B$8/Rides!$B$41*Rides!$B$24/Rides!$B$41*(Fares!$C$8+Fares!$C$24-INDEX(Fares!$C$2:$C$40,MIN(38,MAX(0,ROUNDUP(ROUND(Fares!$B$8+Fares!$B$24-3.2,1)-0.000000001,0)))+1))</f>
        <v/>
      </c>
      <c r="Y10">
        <f>Rides!$B$8/Rides!$B$41*Rides!$B$25/Rides!$B$41*(Fares!$C$8+Fares!$C$25-INDEX(Fares!$C$2:$C$40,MIN(38,MAX(0,ROUNDUP(ROUND(Fares!$B$8+Fares!$B$25-3.2,1)-0.000000001,0)))+1))</f>
        <v/>
      </c>
      <c r="Z10">
        <f>Rides!$B$8/Rides!$B$41*Rides!$B$26/Rides!$B$41*(Fares!$C$8+Fares!$C$26-INDEX(Fares!$C$2:$C$40,MIN(38,MAX(0,ROUNDUP(ROUND(Fares!$B$8+Fares!$B$26-3.2,1)-0.000000001,0)))+1))</f>
        <v/>
      </c>
      <c r="AA10">
        <f>Rides!$B$8/Rides!$B$41*Rides!$B$27/Rides!$B$41*(Fares!$C$8+Fares!$C$27-INDEX(Fares!$C$2:$C$40,MIN(38,MAX(0,ROUNDUP(ROUND(Fares!$B$8+Fares!$B$27-3.2,1)-0.000000001,0)))+1))</f>
        <v/>
      </c>
      <c r="AB10">
        <f>Rides!$B$8/Rides!$B$41*Rides!$B$28/Rides!$B$41*(Fares!$C$8+Fares!$C$28-INDEX(Fares!$C$2:$C$40,MIN(38,MAX(0,ROUNDUP(ROUND(Fares!$B$8+Fares!$B$28-3.2,1)-0.000000001,0)))+1))</f>
        <v/>
      </c>
      <c r="AC10">
        <f>Rides!$B$8/Rides!$B$41*Rides!$B$29/Rides!$B$41*(Fares!$C$8+Fares!$C$29-INDEX(Fares!$C$2:$C$40,MIN(38,MAX(0,ROUNDUP(ROUND(Fares!$B$8+Fares!$B$29-3.2,1)-0.000000001,0)))+1))</f>
        <v/>
      </c>
      <c r="AD10">
        <f>Rides!$B$8/Rides!$B$41*Rides!$B$30/Rides!$B$41*(Fares!$C$8+Fares!$C$30-INDEX(Fares!$C$2:$C$40,MIN(38,MAX(0,ROUNDUP(ROUND(Fares!$B$8+Fares!$B$30-3.2,1)-0.000000001,0)))+1))</f>
        <v/>
      </c>
      <c r="AE10">
        <f>Rides!$B$8/Rides!$B$41*Rides!$B$31/Rides!$B$41*(Fares!$C$8+Fares!$C$31-INDEX(Fares!$C$2:$C$40,MIN(38,MAX(0,ROUNDUP(ROUND(Fares!$B$8+Fares!$B$31-3.2,1)-0.000000001,0)))+1))</f>
        <v/>
      </c>
      <c r="AF10">
        <f>Rides!$B$8/Rides!$B$41*Rides!$B$32/Rides!$B$41*(Fares!$C$8+Fares!$C$32-INDEX(Fares!$C$2:$C$40,MIN(38,MAX(0,ROUNDUP(ROUND(Fares!$B$8+Fares!$B$32-3.2,1)-0.000000001,0)))+1))</f>
        <v/>
      </c>
      <c r="AG10">
        <f>Rides!$B$8/Rides!$B$41*Rides!$B$33/Rides!$B$41*(Fares!$C$8+Fares!$C$33-INDEX(Fares!$C$2:$C$40,MIN(38,MAX(0,ROUNDUP(ROUND(Fares!$B$8+Fares!$B$33-3.2,1)-0.000000001,0)))+1))</f>
        <v/>
      </c>
      <c r="AH10">
        <f>Rides!$B$8/Rides!$B$41*Rides!$B$34/Rides!$B$41*(Fares!$C$8+Fares!$C$34-INDEX(Fares!$C$2:$C$40,MIN(38,MAX(0,ROUNDUP(ROUND(Fares!$B$8+Fares!$B$34-3.2,1)-0.000000001,0)))+1))</f>
        <v/>
      </c>
      <c r="AI10">
        <f>Rides!$B$8/Rides!$B$41*Rides!$B$35/Rides!$B$41*(Fares!$C$8+Fares!$C$35-INDEX(Fares!$C$2:$C$40,MIN(38,MAX(0,ROUNDUP(ROUND(Fares!$B$8+Fares!$B$35-3.2,1)-0.000000001,0)))+1))</f>
        <v/>
      </c>
      <c r="AJ10">
        <f>Rides!$B$8/Rides!$B$41*Rides!$B$36/Rides!$B$41*(Fares!$C$8+Fares!$C$36-INDEX(Fares!$C$2:$C$40,MIN(38,MAX(0,ROUNDUP(ROUND(Fares!$B$8+Fares!$B$36-3.2,1)-0.000000001,0)))+1))</f>
        <v/>
      </c>
      <c r="AK10">
        <f>Rides!$B$8/Rides!$B$41*Rides!$B$37/Rides!$B$41*(Fares!$C$8+Fares!$C$37-INDEX(Fares!$C$2:$C$40,MIN(38,MAX(0,ROUNDUP(ROUND(Fares!$B$8+Fares!$B$37-3.2,1)-0.000000001,0)))+1))</f>
        <v/>
      </c>
      <c r="AL10">
        <f>Rides!$B$8/Rides!$B$41*Rides!$B$38/Rides!$B$41*(Fares!$C$8+Fares!$C$38-INDEX(Fares!$C$2:$C$40,MIN(38,MAX(0,ROUNDUP(ROUND(Fares!$B$8+Fares!$B$38-3.2,1)-0.000000001,0)))+1))</f>
        <v/>
      </c>
      <c r="AM10">
        <f>Rides!$B$8/Rides!$B$41*Rides!$B$39/Rides!$B$41*(Fares!$C$8+Fares!$C$39-INDEX(Fares!$C$2:$C$40,MIN(38,MAX(0,ROUNDUP(ROUND(Fares!$B$8+Fares!$B$39-3.2,1)-0.000000001,0)))+1))</f>
        <v/>
      </c>
      <c r="AN10">
        <f>Rides!$B$8/Rides!$B$41*Rides!$B$40/Rides!$B$41*(Fares!$C$8+Fares!$C$40-INDEX(Fares!$C$2:$C$40,MIN(38,MAX(0,ROUNDUP(ROUND(Fares!$B$8+Fares!$B$40-3.2,1)-0.000000001,0)))+1))</f>
        <v/>
      </c>
    </row>
    <row r="11">
      <c r="A11">
        <f>Fares!$B$9</f>
        <v/>
      </c>
      <c r="B11">
        <f>Rides!$B$9/Rides!$B$41*Rides!$B$2/Rides!$B$41*(Fares!$C$9+Fares!$C$2-INDEX(Fares!$C$2:$C$40,MIN(38,MAX(0,ROUNDUP(ROUND(Fares!$B$9+Fares!$B$2-3.2,1)-0.000000001,0)))+1))</f>
        <v/>
      </c>
      <c r="C11">
        <f>Rides!$B$9/Rides!$B$41*Rides!$B$3/Rides!$B$41*(Fares!$C$9+Fares!$C$3-INDEX(Fares!$C$2:$C$40,MIN(38,MAX(0,ROUNDUP(ROUND(Fares!$B$9+Fares!$B$3-3.2,1)-0.000000001,0)))+1))</f>
        <v/>
      </c>
      <c r="D11">
        <f>Rides!$B$9/Rides!$B$41*Rides!$B$4/Rides!$B$41*(Fares!$C$9+Fares!$C$4-INDEX(Fares!$C$2:$C$40,MIN(38,MAX(0,ROUNDUP(ROUND(Fares!$B$9+Fares!$B$4-3.2,1)-0.000000001,0)))+1))</f>
        <v/>
      </c>
      <c r="E11">
        <f>Rides!$B$9/Rides!$B$41*Rides!$B$5/Rides!$B$41*(Fares!$C$9+Fares!$C$5-INDEX(Fares!$C$2:$C$40,MIN(38,MAX(0,ROUNDUP(ROUND(Fares!$B$9+Fares!$B$5-3.2,1)-0.000000001,0)))+1))</f>
        <v/>
      </c>
      <c r="F11">
        <f>Rides!$B$9/Rides!$B$41*Rides!$B$6/Rides!$B$41*(Fares!$C$9+Fares!$C$6-INDEX(Fares!$C$2:$C$40,MIN(38,MAX(0,ROUNDUP(ROUND(Fares!$B$9+Fares!$B$6-3.2,1)-0.000000001,0)))+1))</f>
        <v/>
      </c>
      <c r="G11">
        <f>Rides!$B$9/Rides!$B$41*Rides!$B$7/Rides!$B$41*(Fares!$C$9+Fares!$C$7-INDEX(Fares!$C$2:$C$40,MIN(38,MAX(0,ROUNDUP(ROUND(Fares!$B$9+Fares!$B$7-3.2,1)-0.000000001,0)))+1))</f>
        <v/>
      </c>
      <c r="H11">
        <f>Rides!$B$9/Rides!$B$41*Rides!$B$8/Rides!$B$41*(Fares!$C$9+Fares!$C$8-INDEX(Fares!$C$2:$C$40,MIN(38,MAX(0,ROUNDUP(ROUND(Fares!$B$9+Fares!$B$8-3.2,1)-0.000000001,0)))+1))</f>
        <v/>
      </c>
      <c r="I11">
        <f>Rides!$B$9/Rides!$B$41*Rides!$B$9/Rides!$B$41*(Fares!$C$9+Fares!$C$9-INDEX(Fares!$C$2:$C$40,MIN(38,MAX(0,ROUNDUP(ROUND(Fares!$B$9+Fares!$B$9-3.2,1)-0.000000001,0)))+1))</f>
        <v/>
      </c>
      <c r="J11">
        <f>Rides!$B$9/Rides!$B$41*Rides!$B$10/Rides!$B$41*(Fares!$C$9+Fares!$C$10-INDEX(Fares!$C$2:$C$40,MIN(38,MAX(0,ROUNDUP(ROUND(Fares!$B$9+Fares!$B$10-3.2,1)-0.000000001,0)))+1))</f>
        <v/>
      </c>
      <c r="K11">
        <f>Rides!$B$9/Rides!$B$41*Rides!$B$11/Rides!$B$41*(Fares!$C$9+Fares!$C$11-INDEX(Fares!$C$2:$C$40,MIN(38,MAX(0,ROUNDUP(ROUND(Fares!$B$9+Fares!$B$11-3.2,1)-0.000000001,0)))+1))</f>
        <v/>
      </c>
      <c r="L11">
        <f>Rides!$B$9/Rides!$B$41*Rides!$B$12/Rides!$B$41*(Fares!$C$9+Fares!$C$12-INDEX(Fares!$C$2:$C$40,MIN(38,MAX(0,ROUNDUP(ROUND(Fares!$B$9+Fares!$B$12-3.2,1)-0.000000001,0)))+1))</f>
        <v/>
      </c>
      <c r="M11">
        <f>Rides!$B$9/Rides!$B$41*Rides!$B$13/Rides!$B$41*(Fares!$C$9+Fares!$C$13-INDEX(Fares!$C$2:$C$40,MIN(38,MAX(0,ROUNDUP(ROUND(Fares!$B$9+Fares!$B$13-3.2,1)-0.000000001,0)))+1))</f>
        <v/>
      </c>
      <c r="N11">
        <f>Rides!$B$9/Rides!$B$41*Rides!$B$14/Rides!$B$41*(Fares!$C$9+Fares!$C$14-INDEX(Fares!$C$2:$C$40,MIN(38,MAX(0,ROUNDUP(ROUND(Fares!$B$9+Fares!$B$14-3.2,1)-0.000000001,0)))+1))</f>
        <v/>
      </c>
      <c r="O11">
        <f>Rides!$B$9/Rides!$B$41*Rides!$B$15/Rides!$B$41*(Fares!$C$9+Fares!$C$15-INDEX(Fares!$C$2:$C$40,MIN(38,MAX(0,ROUNDUP(ROUND(Fares!$B$9+Fares!$B$15-3.2,1)-0.000000001,0)))+1))</f>
        <v/>
      </c>
      <c r="P11">
        <f>Rides!$B$9/Rides!$B$41*Rides!$B$16/Rides!$B$41*(Fares!$C$9+Fares!$C$16-INDEX(Fares!$C$2:$C$40,MIN(38,MAX(0,ROUNDUP(ROUND(Fares!$B$9+Fares!$B$16-3.2,1)-0.000000001,0)))+1))</f>
        <v/>
      </c>
      <c r="Q11">
        <f>Rides!$B$9/Rides!$B$41*Rides!$B$17/Rides!$B$41*(Fares!$C$9+Fares!$C$17-INDEX(Fares!$C$2:$C$40,MIN(38,MAX(0,ROUNDUP(ROUND(Fares!$B$9+Fares!$B$17-3.2,1)-0.000000001,0)))+1))</f>
        <v/>
      </c>
      <c r="R11">
        <f>Rides!$B$9/Rides!$B$41*Rides!$B$18/Rides!$B$41*(Fares!$C$9+Fares!$C$18-INDEX(Fares!$C$2:$C$40,MIN(38,MAX(0,ROUNDUP(ROUND(Fares!$B$9+Fares!$B$18-3.2,1)-0.000000001,0)))+1))</f>
        <v/>
      </c>
      <c r="S11">
        <f>Rides!$B$9/Rides!$B$41*Rides!$B$19/Rides!$B$41*(Fares!$C$9+Fares!$C$19-INDEX(Fares!$C$2:$C$40,MIN(38,MAX(0,ROUNDUP(ROUND(Fares!$B$9+Fares!$B$19-3.2,1)-0.000000001,0)))+1))</f>
        <v/>
      </c>
      <c r="T11">
        <f>Rides!$B$9/Rides!$B$41*Rides!$B$20/Rides!$B$41*(Fares!$C$9+Fares!$C$20-INDEX(Fares!$C$2:$C$40,MIN(38,MAX(0,ROUNDUP(ROUND(Fares!$B$9+Fares!$B$20-3.2,1)-0.000000001,0)))+1))</f>
        <v/>
      </c>
      <c r="U11">
        <f>Rides!$B$9/Rides!$B$41*Rides!$B$21/Rides!$B$41*(Fares!$C$9+Fares!$C$21-INDEX(Fares!$C$2:$C$40,MIN(38,MAX(0,ROUNDUP(ROUND(Fares!$B$9+Fares!$B$21-3.2,1)-0.000000001,0)))+1))</f>
        <v/>
      </c>
      <c r="V11">
        <f>Rides!$B$9/Rides!$B$41*Rides!$B$22/Rides!$B$41*(Fares!$C$9+Fares!$C$22-INDEX(Fares!$C$2:$C$40,MIN(38,MAX(0,ROUNDUP(ROUND(Fares!$B$9+Fares!$B$22-3.2,1)-0.000000001,0)))+1))</f>
        <v/>
      </c>
      <c r="W11">
        <f>Rides!$B$9/Rides!$B$41*Rides!$B$23/Rides!$B$41*(Fares!$C$9+Fares!$C$23-INDEX(Fares!$C$2:$C$40,MIN(38,MAX(0,ROUNDUP(ROUND(Fares!$B$9+Fares!$B$23-3.2,1)-0.000000001,0)))+1))</f>
        <v/>
      </c>
      <c r="X11">
        <f>Rides!$B$9/Rides!$B$41*Rides!$B$24/Rides!$B$41*(Fares!$C$9+Fares!$C$24-INDEX(Fares!$C$2:$C$40,MIN(38,MAX(0,ROUNDUP(ROUND(Fares!$B$9+Fares!$B$24-3.2,1)-0.000000001,0)))+1))</f>
        <v/>
      </c>
      <c r="Y11">
        <f>Rides!$B$9/Rides!$B$41*Rides!$B$25/Rides!$B$41*(Fares!$C$9+Fares!$C$25-INDEX(Fares!$C$2:$C$40,MIN(38,MAX(0,ROUNDUP(ROUND(Fares!$B$9+Fares!$B$25-3.2,1)-0.000000001,0)))+1))</f>
        <v/>
      </c>
      <c r="Z11">
        <f>Rides!$B$9/Rides!$B$41*Rides!$B$26/Rides!$B$41*(Fares!$C$9+Fares!$C$26-INDEX(Fares!$C$2:$C$40,MIN(38,MAX(0,ROUNDUP(ROUND(Fares!$B$9+Fares!$B$26-3.2,1)-0.000000001,0)))+1))</f>
        <v/>
      </c>
      <c r="AA11">
        <f>Rides!$B$9/Rides!$B$41*Rides!$B$27/Rides!$B$41*(Fares!$C$9+Fares!$C$27-INDEX(Fares!$C$2:$C$40,MIN(38,MAX(0,ROUNDUP(ROUND(Fares!$B$9+Fares!$B$27-3.2,1)-0.000000001,0)))+1))</f>
        <v/>
      </c>
      <c r="AB11">
        <f>Rides!$B$9/Rides!$B$41*Rides!$B$28/Rides!$B$41*(Fares!$C$9+Fares!$C$28-INDEX(Fares!$C$2:$C$40,MIN(38,MAX(0,ROUNDUP(ROUND(Fares!$B$9+Fares!$B$28-3.2,1)-0.000000001,0)))+1))</f>
        <v/>
      </c>
      <c r="AC11">
        <f>Rides!$B$9/Rides!$B$41*Rides!$B$29/Rides!$B$41*(Fares!$C$9+Fares!$C$29-INDEX(Fares!$C$2:$C$40,MIN(38,MAX(0,ROUNDUP(ROUND(Fares!$B$9+Fares!$B$29-3.2,1)-0.000000001,0)))+1))</f>
        <v/>
      </c>
      <c r="AD11">
        <f>Rides!$B$9/Rides!$B$41*Rides!$B$30/Rides!$B$41*(Fares!$C$9+Fares!$C$30-INDEX(Fares!$C$2:$C$40,MIN(38,MAX(0,ROUNDUP(ROUND(Fares!$B$9+Fares!$B$30-3.2,1)-0.000000001,0)))+1))</f>
        <v/>
      </c>
      <c r="AE11">
        <f>Rides!$B$9/Rides!$B$41*Rides!$B$31/Rides!$B$41*(Fares!$C$9+Fares!$C$31-INDEX(Fares!$C$2:$C$40,MIN(38,MAX(0,ROUNDUP(ROUND(Fares!$B$9+Fares!$B$31-3.2,1)-0.000000001,0)))+1))</f>
        <v/>
      </c>
      <c r="AF11">
        <f>Rides!$B$9/Rides!$B$41*Rides!$B$32/Rides!$B$41*(Fares!$C$9+Fares!$C$32-INDEX(Fares!$C$2:$C$40,MIN(38,MAX(0,ROUNDUP(ROUND(Fares!$B$9+Fares!$B$32-3.2,1)-0.000000001,0)))+1))</f>
        <v/>
      </c>
      <c r="AG11">
        <f>Rides!$B$9/Rides!$B$41*Rides!$B$33/Rides!$B$41*(Fares!$C$9+Fares!$C$33-INDEX(Fares!$C$2:$C$40,MIN(38,MAX(0,ROUNDUP(ROUND(Fares!$B$9+Fares!$B$33-3.2,1)-0.000000001,0)))+1))</f>
        <v/>
      </c>
      <c r="AH11">
        <f>Rides!$B$9/Rides!$B$41*Rides!$B$34/Rides!$B$41*(Fares!$C$9+Fares!$C$34-INDEX(Fares!$C$2:$C$40,MIN(38,MAX(0,ROUNDUP(ROUND(Fares!$B$9+Fares!$B$34-3.2,1)-0.000000001,0)))+1))</f>
        <v/>
      </c>
      <c r="AI11">
        <f>Rides!$B$9/Rides!$B$41*Rides!$B$35/Rides!$B$41*(Fares!$C$9+Fares!$C$35-INDEX(Fares!$C$2:$C$40,MIN(38,MAX(0,ROUNDUP(ROUND(Fares!$B$9+Fares!$B$35-3.2,1)-0.000000001,0)))+1))</f>
        <v/>
      </c>
      <c r="AJ11">
        <f>Rides!$B$9/Rides!$B$41*Rides!$B$36/Rides!$B$41*(Fares!$C$9+Fares!$C$36-INDEX(Fares!$C$2:$C$40,MIN(38,MAX(0,ROUNDUP(ROUND(Fares!$B$9+Fares!$B$36-3.2,1)-0.000000001,0)))+1))</f>
        <v/>
      </c>
      <c r="AK11">
        <f>Rides!$B$9/Rides!$B$41*Rides!$B$37/Rides!$B$41*(Fares!$C$9+Fares!$C$37-INDEX(Fares!$C$2:$C$40,MIN(38,MAX(0,ROUNDUP(ROUND(Fares!$B$9+Fares!$B$37-3.2,1)-0.000000001,0)))+1))</f>
        <v/>
      </c>
      <c r="AL11">
        <f>Rides!$B$9/Rides!$B$41*Rides!$B$38/Rides!$B$41*(Fares!$C$9+Fares!$C$38-INDEX(Fares!$C$2:$C$40,MIN(38,MAX(0,ROUNDUP(ROUND(Fares!$B$9+Fares!$B$38-3.2,1)-0.000000001,0)))+1))</f>
        <v/>
      </c>
      <c r="AM11">
        <f>Rides!$B$9/Rides!$B$41*Rides!$B$39/Rides!$B$41*(Fares!$C$9+Fares!$C$39-INDEX(Fares!$C$2:$C$40,MIN(38,MAX(0,ROUNDUP(ROUND(Fares!$B$9+Fares!$B$39-3.2,1)-0.000000001,0)))+1))</f>
        <v/>
      </c>
      <c r="AN11">
        <f>Rides!$B$9/Rides!$B$41*Rides!$B$40/Rides!$B$41*(Fares!$C$9+Fares!$C$40-INDEX(Fares!$C$2:$C$40,MIN(38,MAX(0,ROUNDUP(ROUND(Fares!$B$9+Fares!$B$40-3.2,1)-0.000000001,0)))+1))</f>
        <v/>
      </c>
    </row>
    <row r="12">
      <c r="A12">
        <f>Fares!$B$10</f>
        <v/>
      </c>
      <c r="B12">
        <f>Rides!$B$10/Rides!$B$41*Rides!$B$2/Rides!$B$41*(Fares!$C$10+Fares!$C$2-INDEX(Fares!$C$2:$C$40,MIN(38,MAX(0,ROUNDUP(ROUND(Fares!$B$10+Fares!$B$2-3.2,1)-0.000000001,0)))+1))</f>
        <v/>
      </c>
      <c r="C12">
        <f>Rides!$B$10/Rides!$B$41*Rides!$B$3/Rides!$B$41*(Fares!$C$10+Fares!$C$3-INDEX(Fares!$C$2:$C$40,MIN(38,MAX(0,ROUNDUP(ROUND(Fares!$B$10+Fares!$B$3-3.2,1)-0.000000001,0)))+1))</f>
        <v/>
      </c>
      <c r="D12">
        <f>Rides!$B$10/Rides!$B$41*Rides!$B$4/Rides!$B$41*(Fares!$C$10+Fares!$C$4-INDEX(Fares!$C$2:$C$40,MIN(38,MAX(0,ROUNDUP(ROUND(Fares!$B$10+Fares!$B$4-3.2,1)-0.000000001,0)))+1))</f>
        <v/>
      </c>
      <c r="E12">
        <f>Rides!$B$10/Rides!$B$41*Rides!$B$5/Rides!$B$41*(Fares!$C$10+Fares!$C$5-INDEX(Fares!$C$2:$C$40,MIN(38,MAX(0,ROUNDUP(ROUND(Fares!$B$10+Fares!$B$5-3.2,1)-0.000000001,0)))+1))</f>
        <v/>
      </c>
      <c r="F12">
        <f>Rides!$B$10/Rides!$B$41*Rides!$B$6/Rides!$B$41*(Fares!$C$10+Fares!$C$6-INDEX(Fares!$C$2:$C$40,MIN(38,MAX(0,ROUNDUP(ROUND(Fares!$B$10+Fares!$B$6-3.2,1)-0.000000001,0)))+1))</f>
        <v/>
      </c>
      <c r="G12">
        <f>Rides!$B$10/Rides!$B$41*Rides!$B$7/Rides!$B$41*(Fares!$C$10+Fares!$C$7-INDEX(Fares!$C$2:$C$40,MIN(38,MAX(0,ROUNDUP(ROUND(Fares!$B$10+Fares!$B$7-3.2,1)-0.000000001,0)))+1))</f>
        <v/>
      </c>
      <c r="H12">
        <f>Rides!$B$10/Rides!$B$41*Rides!$B$8/Rides!$B$41*(Fares!$C$10+Fares!$C$8-INDEX(Fares!$C$2:$C$40,MIN(38,MAX(0,ROUNDUP(ROUND(Fares!$B$10+Fares!$B$8-3.2,1)-0.000000001,0)))+1))</f>
        <v/>
      </c>
      <c r="I12">
        <f>Rides!$B$10/Rides!$B$41*Rides!$B$9/Rides!$B$41*(Fares!$C$10+Fares!$C$9-INDEX(Fares!$C$2:$C$40,MIN(38,MAX(0,ROUNDUP(ROUND(Fares!$B$10+Fares!$B$9-3.2,1)-0.000000001,0)))+1))</f>
        <v/>
      </c>
      <c r="J12">
        <f>Rides!$B$10/Rides!$B$41*Rides!$B$10/Rides!$B$41*(Fares!$C$10+Fares!$C$10-INDEX(Fares!$C$2:$C$40,MIN(38,MAX(0,ROUNDUP(ROUND(Fares!$B$10+Fares!$B$10-3.2,1)-0.000000001,0)))+1))</f>
        <v/>
      </c>
      <c r="K12">
        <f>Rides!$B$10/Rides!$B$41*Rides!$B$11/Rides!$B$41*(Fares!$C$10+Fares!$C$11-INDEX(Fares!$C$2:$C$40,MIN(38,MAX(0,ROUNDUP(ROUND(Fares!$B$10+Fares!$B$11-3.2,1)-0.000000001,0)))+1))</f>
        <v/>
      </c>
      <c r="L12">
        <f>Rides!$B$10/Rides!$B$41*Rides!$B$12/Rides!$B$41*(Fares!$C$10+Fares!$C$12-INDEX(Fares!$C$2:$C$40,MIN(38,MAX(0,ROUNDUP(ROUND(Fares!$B$10+Fares!$B$12-3.2,1)-0.000000001,0)))+1))</f>
        <v/>
      </c>
      <c r="M12">
        <f>Rides!$B$10/Rides!$B$41*Rides!$B$13/Rides!$B$41*(Fares!$C$10+Fares!$C$13-INDEX(Fares!$C$2:$C$40,MIN(38,MAX(0,ROUNDUP(ROUND(Fares!$B$10+Fares!$B$13-3.2,1)-0.000000001,0)))+1))</f>
        <v/>
      </c>
      <c r="N12">
        <f>Rides!$B$10/Rides!$B$41*Rides!$B$14/Rides!$B$41*(Fares!$C$10+Fares!$C$14-INDEX(Fares!$C$2:$C$40,MIN(38,MAX(0,ROUNDUP(ROUND(Fares!$B$10+Fares!$B$14-3.2,1)-0.000000001,0)))+1))</f>
        <v/>
      </c>
      <c r="O12">
        <f>Rides!$B$10/Rides!$B$41*Rides!$B$15/Rides!$B$41*(Fares!$C$10+Fares!$C$15-INDEX(Fares!$C$2:$C$40,MIN(38,MAX(0,ROUNDUP(ROUND(Fares!$B$10+Fares!$B$15-3.2,1)-0.000000001,0)))+1))</f>
        <v/>
      </c>
      <c r="P12">
        <f>Rides!$B$10/Rides!$B$41*Rides!$B$16/Rides!$B$41*(Fares!$C$10+Fares!$C$16-INDEX(Fares!$C$2:$C$40,MIN(38,MAX(0,ROUNDUP(ROUND(Fares!$B$10+Fares!$B$16-3.2,1)-0.000000001,0)))+1))</f>
        <v/>
      </c>
      <c r="Q12">
        <f>Rides!$B$10/Rides!$B$41*Rides!$B$17/Rides!$B$41*(Fares!$C$10+Fares!$C$17-INDEX(Fares!$C$2:$C$40,MIN(38,MAX(0,ROUNDUP(ROUND(Fares!$B$10+Fares!$B$17-3.2,1)-0.000000001,0)))+1))</f>
        <v/>
      </c>
      <c r="R12">
        <f>Rides!$B$10/Rides!$B$41*Rides!$B$18/Rides!$B$41*(Fares!$C$10+Fares!$C$18-INDEX(Fares!$C$2:$C$40,MIN(38,MAX(0,ROUNDUP(ROUND(Fares!$B$10+Fares!$B$18-3.2,1)-0.000000001,0)))+1))</f>
        <v/>
      </c>
      <c r="S12">
        <f>Rides!$B$10/Rides!$B$41*Rides!$B$19/Rides!$B$41*(Fares!$C$10+Fares!$C$19-INDEX(Fares!$C$2:$C$40,MIN(38,MAX(0,ROUNDUP(ROUND(Fares!$B$10+Fares!$B$19-3.2,1)-0.000000001,0)))+1))</f>
        <v/>
      </c>
      <c r="T12">
        <f>Rides!$B$10/Rides!$B$41*Rides!$B$20/Rides!$B$41*(Fares!$C$10+Fares!$C$20-INDEX(Fares!$C$2:$C$40,MIN(38,MAX(0,ROUNDUP(ROUND(Fares!$B$10+Fares!$B$20-3.2,1)-0.000000001,0)))+1))</f>
        <v/>
      </c>
      <c r="U12">
        <f>Rides!$B$10/Rides!$B$41*Rides!$B$21/Rides!$B$41*(Fares!$C$10+Fares!$C$21-INDEX(Fares!$C$2:$C$40,MIN(38,MAX(0,ROUNDUP(ROUND(Fares!$B$10+Fares!$B$21-3.2,1)-0.000000001,0)))+1))</f>
        <v/>
      </c>
      <c r="V12">
        <f>Rides!$B$10/Rides!$B$41*Rides!$B$22/Rides!$B$41*(Fares!$C$10+Fares!$C$22-INDEX(Fares!$C$2:$C$40,MIN(38,MAX(0,ROUNDUP(ROUND(Fares!$B$10+Fares!$B$22-3.2,1)-0.000000001,0)))+1))</f>
        <v/>
      </c>
      <c r="W12">
        <f>Rides!$B$10/Rides!$B$41*Rides!$B$23/Rides!$B$41*(Fares!$C$10+Fares!$C$23-INDEX(Fares!$C$2:$C$40,MIN(38,MAX(0,ROUNDUP(ROUND(Fares!$B$10+Fares!$B$23-3.2,1)-0.000000001,0)))+1))</f>
        <v/>
      </c>
      <c r="X12">
        <f>Rides!$B$10/Rides!$B$41*Rides!$B$24/Rides!$B$41*(Fares!$C$10+Fares!$C$24-INDEX(Fares!$C$2:$C$40,MIN(38,MAX(0,ROUNDUP(ROUND(Fares!$B$10+Fares!$B$24-3.2,1)-0.000000001,0)))+1))</f>
        <v/>
      </c>
      <c r="Y12">
        <f>Rides!$B$10/Rides!$B$41*Rides!$B$25/Rides!$B$41*(Fares!$C$10+Fares!$C$25-INDEX(Fares!$C$2:$C$40,MIN(38,MAX(0,ROUNDUP(ROUND(Fares!$B$10+Fares!$B$25-3.2,1)-0.000000001,0)))+1))</f>
        <v/>
      </c>
      <c r="Z12">
        <f>Rides!$B$10/Rides!$B$41*Rides!$B$26/Rides!$B$41*(Fares!$C$10+Fares!$C$26-INDEX(Fares!$C$2:$C$40,MIN(38,MAX(0,ROUNDUP(ROUND(Fares!$B$10+Fares!$B$26-3.2,1)-0.000000001,0)))+1))</f>
        <v/>
      </c>
      <c r="AA12">
        <f>Rides!$B$10/Rides!$B$41*Rides!$B$27/Rides!$B$41*(Fares!$C$10+Fares!$C$27-INDEX(Fares!$C$2:$C$40,MIN(38,MAX(0,ROUNDUP(ROUND(Fares!$B$10+Fares!$B$27-3.2,1)-0.000000001,0)))+1))</f>
        <v/>
      </c>
      <c r="AB12">
        <f>Rides!$B$10/Rides!$B$41*Rides!$B$28/Rides!$B$41*(Fares!$C$10+Fares!$C$28-INDEX(Fares!$C$2:$C$40,MIN(38,MAX(0,ROUNDUP(ROUND(Fares!$B$10+Fares!$B$28-3.2,1)-0.000000001,0)))+1))</f>
        <v/>
      </c>
      <c r="AC12">
        <f>Rides!$B$10/Rides!$B$41*Rides!$B$29/Rides!$B$41*(Fares!$C$10+Fares!$C$29-INDEX(Fares!$C$2:$C$40,MIN(38,MAX(0,ROUNDUP(ROUND(Fares!$B$10+Fares!$B$29-3.2,1)-0.000000001,0)))+1))</f>
        <v/>
      </c>
      <c r="AD12">
        <f>Rides!$B$10/Rides!$B$41*Rides!$B$30/Rides!$B$41*(Fares!$C$10+Fares!$C$30-INDEX(Fares!$C$2:$C$40,MIN(38,MAX(0,ROUNDUP(ROUND(Fares!$B$10+Fares!$B$30-3.2,1)-0.000000001,0)))+1))</f>
        <v/>
      </c>
      <c r="AE12">
        <f>Rides!$B$10/Rides!$B$41*Rides!$B$31/Rides!$B$41*(Fares!$C$10+Fares!$C$31-INDEX(Fares!$C$2:$C$40,MIN(38,MAX(0,ROUNDUP(ROUND(Fares!$B$10+Fares!$B$31-3.2,1)-0.000000001,0)))+1))</f>
        <v/>
      </c>
      <c r="AF12">
        <f>Rides!$B$10/Rides!$B$41*Rides!$B$32/Rides!$B$41*(Fares!$C$10+Fares!$C$32-INDEX(Fares!$C$2:$C$40,MIN(38,MAX(0,ROUNDUP(ROUND(Fares!$B$10+Fares!$B$32-3.2,1)-0.000000001,0)))+1))</f>
        <v/>
      </c>
      <c r="AG12">
        <f>Rides!$B$10/Rides!$B$41*Rides!$B$33/Rides!$B$41*(Fares!$C$10+Fares!$C$33-INDEX(Fares!$C$2:$C$40,MIN(38,MAX(0,ROUNDUP(ROUND(Fares!$B$10+Fares!$B$33-3.2,1)-0.000000001,0)))+1))</f>
        <v/>
      </c>
      <c r="AH12">
        <f>Rides!$B$10/Rides!$B$41*Rides!$B$34/Rides!$B$41*(Fares!$C$10+Fares!$C$34-INDEX(Fares!$C$2:$C$40,MIN(38,MAX(0,ROUNDUP(ROUND(Fares!$B$10+Fares!$B$34-3.2,1)-0.000000001,0)))+1))</f>
        <v/>
      </c>
      <c r="AI12">
        <f>Rides!$B$10/Rides!$B$41*Rides!$B$35/Rides!$B$41*(Fares!$C$10+Fares!$C$35-INDEX(Fares!$C$2:$C$40,MIN(38,MAX(0,ROUNDUP(ROUND(Fares!$B$10+Fares!$B$35-3.2,1)-0.000000001,0)))+1))</f>
        <v/>
      </c>
      <c r="AJ12">
        <f>Rides!$B$10/Rides!$B$41*Rides!$B$36/Rides!$B$41*(Fares!$C$10+Fares!$C$36-INDEX(Fares!$C$2:$C$40,MIN(38,MAX(0,ROUNDUP(ROUND(Fares!$B$10+Fares!$B$36-3.2,1)-0.000000001,0)))+1))</f>
        <v/>
      </c>
      <c r="AK12">
        <f>Rides!$B$10/Rides!$B$41*Rides!$B$37/Rides!$B$41*(Fares!$C$10+Fares!$C$37-INDEX(Fares!$C$2:$C$40,MIN(38,MAX(0,ROUNDUP(ROUND(Fares!$B$10+Fares!$B$37-3.2,1)-0.000000001,0)))+1))</f>
        <v/>
      </c>
      <c r="AL12">
        <f>Rides!$B$10/Rides!$B$41*Rides!$B$38/Rides!$B$41*(Fares!$C$10+Fares!$C$38-INDEX(Fares!$C$2:$C$40,MIN(38,MAX(0,ROUNDUP(ROUND(Fares!$B$10+Fares!$B$38-3.2,1)-0.000000001,0)))+1))</f>
        <v/>
      </c>
      <c r="AM12">
        <f>Rides!$B$10/Rides!$B$41*Rides!$B$39/Rides!$B$41*(Fares!$C$10+Fares!$C$39-INDEX(Fares!$C$2:$C$40,MIN(38,MAX(0,ROUNDUP(ROUND(Fares!$B$10+Fares!$B$39-3.2,1)-0.000000001,0)))+1))</f>
        <v/>
      </c>
      <c r="AN12">
        <f>Rides!$B$10/Rides!$B$41*Rides!$B$40/Rides!$B$41*(Fares!$C$10+Fares!$C$40-INDEX(Fares!$C$2:$C$40,MIN(38,MAX(0,ROUNDUP(ROUND(Fares!$B$10+Fares!$B$40-3.2,1)-0.000000001,0)))+1))</f>
        <v/>
      </c>
    </row>
    <row r="13">
      <c r="A13">
        <f>Fares!$B$11</f>
        <v/>
      </c>
      <c r="B13">
        <f>Rides!$B$11/Rides!$B$41*Rides!$B$2/Rides!$B$41*(Fares!$C$11+Fares!$C$2-INDEX(Fares!$C$2:$C$40,MIN(38,MAX(0,ROUNDUP(ROUND(Fares!$B$11+Fares!$B$2-3.2,1)-0.000000001,0)))+1))</f>
        <v/>
      </c>
      <c r="C13">
        <f>Rides!$B$11/Rides!$B$41*Rides!$B$3/Rides!$B$41*(Fares!$C$11+Fares!$C$3-INDEX(Fares!$C$2:$C$40,MIN(38,MAX(0,ROUNDUP(ROUND(Fares!$B$11+Fares!$B$3-3.2,1)-0.000000001,0)))+1))</f>
        <v/>
      </c>
      <c r="D13">
        <f>Rides!$B$11/Rides!$B$41*Rides!$B$4/Rides!$B$41*(Fares!$C$11+Fares!$C$4-INDEX(Fares!$C$2:$C$40,MIN(38,MAX(0,ROUNDUP(ROUND(Fares!$B$11+Fares!$B$4-3.2,1)-0.000000001,0)))+1))</f>
        <v/>
      </c>
      <c r="E13">
        <f>Rides!$B$11/Rides!$B$41*Rides!$B$5/Rides!$B$41*(Fares!$C$11+Fares!$C$5-INDEX(Fares!$C$2:$C$40,MIN(38,MAX(0,ROUNDUP(ROUND(Fares!$B$11+Fares!$B$5-3.2,1)-0.000000001,0)))+1))</f>
        <v/>
      </c>
      <c r="F13">
        <f>Rides!$B$11/Rides!$B$41*Rides!$B$6/Rides!$B$41*(Fares!$C$11+Fares!$C$6-INDEX(Fares!$C$2:$C$40,MIN(38,MAX(0,ROUNDUP(ROUND(Fares!$B$11+Fares!$B$6-3.2,1)-0.000000001,0)))+1))</f>
        <v/>
      </c>
      <c r="G13">
        <f>Rides!$B$11/Rides!$B$41*Rides!$B$7/Rides!$B$41*(Fares!$C$11+Fares!$C$7-INDEX(Fares!$C$2:$C$40,MIN(38,MAX(0,ROUNDUP(ROUND(Fares!$B$11+Fares!$B$7-3.2,1)-0.000000001,0)))+1))</f>
        <v/>
      </c>
      <c r="H13">
        <f>Rides!$B$11/Rides!$B$41*Rides!$B$8/Rides!$B$41*(Fares!$C$11+Fares!$C$8-INDEX(Fares!$C$2:$C$40,MIN(38,MAX(0,ROUNDUP(ROUND(Fares!$B$11+Fares!$B$8-3.2,1)-0.000000001,0)))+1))</f>
        <v/>
      </c>
      <c r="I13">
        <f>Rides!$B$11/Rides!$B$41*Rides!$B$9/Rides!$B$41*(Fares!$C$11+Fares!$C$9-INDEX(Fares!$C$2:$C$40,MIN(38,MAX(0,ROUNDUP(ROUND(Fares!$B$11+Fares!$B$9-3.2,1)-0.000000001,0)))+1))</f>
        <v/>
      </c>
      <c r="J13">
        <f>Rides!$B$11/Rides!$B$41*Rides!$B$10/Rides!$B$41*(Fares!$C$11+Fares!$C$10-INDEX(Fares!$C$2:$C$40,MIN(38,MAX(0,ROUNDUP(ROUND(Fares!$B$11+Fares!$B$10-3.2,1)-0.000000001,0)))+1))</f>
        <v/>
      </c>
      <c r="K13">
        <f>Rides!$B$11/Rides!$B$41*Rides!$B$11/Rides!$B$41*(Fares!$C$11+Fares!$C$11-INDEX(Fares!$C$2:$C$40,MIN(38,MAX(0,ROUNDUP(ROUND(Fares!$B$11+Fares!$B$11-3.2,1)-0.000000001,0)))+1))</f>
        <v/>
      </c>
      <c r="L13">
        <f>Rides!$B$11/Rides!$B$41*Rides!$B$12/Rides!$B$41*(Fares!$C$11+Fares!$C$12-INDEX(Fares!$C$2:$C$40,MIN(38,MAX(0,ROUNDUP(ROUND(Fares!$B$11+Fares!$B$12-3.2,1)-0.000000001,0)))+1))</f>
        <v/>
      </c>
      <c r="M13">
        <f>Rides!$B$11/Rides!$B$41*Rides!$B$13/Rides!$B$41*(Fares!$C$11+Fares!$C$13-INDEX(Fares!$C$2:$C$40,MIN(38,MAX(0,ROUNDUP(ROUND(Fares!$B$11+Fares!$B$13-3.2,1)-0.000000001,0)))+1))</f>
        <v/>
      </c>
      <c r="N13">
        <f>Rides!$B$11/Rides!$B$41*Rides!$B$14/Rides!$B$41*(Fares!$C$11+Fares!$C$14-INDEX(Fares!$C$2:$C$40,MIN(38,MAX(0,ROUNDUP(ROUND(Fares!$B$11+Fares!$B$14-3.2,1)-0.000000001,0)))+1))</f>
        <v/>
      </c>
      <c r="O13">
        <f>Rides!$B$11/Rides!$B$41*Rides!$B$15/Rides!$B$41*(Fares!$C$11+Fares!$C$15-INDEX(Fares!$C$2:$C$40,MIN(38,MAX(0,ROUNDUP(ROUND(Fares!$B$11+Fares!$B$15-3.2,1)-0.000000001,0)))+1))</f>
        <v/>
      </c>
      <c r="P13">
        <f>Rides!$B$11/Rides!$B$41*Rides!$B$16/Rides!$B$41*(Fares!$C$11+Fares!$C$16-INDEX(Fares!$C$2:$C$40,MIN(38,MAX(0,ROUNDUP(ROUND(Fares!$B$11+Fares!$B$16-3.2,1)-0.000000001,0)))+1))</f>
        <v/>
      </c>
      <c r="Q13">
        <f>Rides!$B$11/Rides!$B$41*Rides!$B$17/Rides!$B$41*(Fares!$C$11+Fares!$C$17-INDEX(Fares!$C$2:$C$40,MIN(38,MAX(0,ROUNDUP(ROUND(Fares!$B$11+Fares!$B$17-3.2,1)-0.000000001,0)))+1))</f>
        <v/>
      </c>
      <c r="R13">
        <f>Rides!$B$11/Rides!$B$41*Rides!$B$18/Rides!$B$41*(Fares!$C$11+Fares!$C$18-INDEX(Fares!$C$2:$C$40,MIN(38,MAX(0,ROUNDUP(ROUND(Fares!$B$11+Fares!$B$18-3.2,1)-0.000000001,0)))+1))</f>
        <v/>
      </c>
      <c r="S13">
        <f>Rides!$B$11/Rides!$B$41*Rides!$B$19/Rides!$B$41*(Fares!$C$11+Fares!$C$19-INDEX(Fares!$C$2:$C$40,MIN(38,MAX(0,ROUNDUP(ROUND(Fares!$B$11+Fares!$B$19-3.2,1)-0.000000001,0)))+1))</f>
        <v/>
      </c>
      <c r="T13">
        <f>Rides!$B$11/Rides!$B$41*Rides!$B$20/Rides!$B$41*(Fares!$C$11+Fares!$C$20-INDEX(Fares!$C$2:$C$40,MIN(38,MAX(0,ROUNDUP(ROUND(Fares!$B$11+Fares!$B$20-3.2,1)-0.000000001,0)))+1))</f>
        <v/>
      </c>
      <c r="U13">
        <f>Rides!$B$11/Rides!$B$41*Rides!$B$21/Rides!$B$41*(Fares!$C$11+Fares!$C$21-INDEX(Fares!$C$2:$C$40,MIN(38,MAX(0,ROUNDUP(ROUND(Fares!$B$11+Fares!$B$21-3.2,1)-0.000000001,0)))+1))</f>
        <v/>
      </c>
      <c r="V13">
        <f>Rides!$B$11/Rides!$B$41*Rides!$B$22/Rides!$B$41*(Fares!$C$11+Fares!$C$22-INDEX(Fares!$C$2:$C$40,MIN(38,MAX(0,ROUNDUP(ROUND(Fares!$B$11+Fares!$B$22-3.2,1)-0.000000001,0)))+1))</f>
        <v/>
      </c>
      <c r="W13">
        <f>Rides!$B$11/Rides!$B$41*Rides!$B$23/Rides!$B$41*(Fares!$C$11+Fares!$C$23-INDEX(Fares!$C$2:$C$40,MIN(38,MAX(0,ROUNDUP(ROUND(Fares!$B$11+Fares!$B$23-3.2,1)-0.000000001,0)))+1))</f>
        <v/>
      </c>
      <c r="X13">
        <f>Rides!$B$11/Rides!$B$41*Rides!$B$24/Rides!$B$41*(Fares!$C$11+Fares!$C$24-INDEX(Fares!$C$2:$C$40,MIN(38,MAX(0,ROUNDUP(ROUND(Fares!$B$11+Fares!$B$24-3.2,1)-0.000000001,0)))+1))</f>
        <v/>
      </c>
      <c r="Y13">
        <f>Rides!$B$11/Rides!$B$41*Rides!$B$25/Rides!$B$41*(Fares!$C$11+Fares!$C$25-INDEX(Fares!$C$2:$C$40,MIN(38,MAX(0,ROUNDUP(ROUND(Fares!$B$11+Fares!$B$25-3.2,1)-0.000000001,0)))+1))</f>
        <v/>
      </c>
      <c r="Z13">
        <f>Rides!$B$11/Rides!$B$41*Rides!$B$26/Rides!$B$41*(Fares!$C$11+Fares!$C$26-INDEX(Fares!$C$2:$C$40,MIN(38,MAX(0,ROUNDUP(ROUND(Fares!$B$11+Fares!$B$26-3.2,1)-0.000000001,0)))+1))</f>
        <v/>
      </c>
      <c r="AA13">
        <f>Rides!$B$11/Rides!$B$41*Rides!$B$27/Rides!$B$41*(Fares!$C$11+Fares!$C$27-INDEX(Fares!$C$2:$C$40,MIN(38,MAX(0,ROUNDUP(ROUND(Fares!$B$11+Fares!$B$27-3.2,1)-0.000000001,0)))+1))</f>
        <v/>
      </c>
      <c r="AB13">
        <f>Rides!$B$11/Rides!$B$41*Rides!$B$28/Rides!$B$41*(Fares!$C$11+Fares!$C$28-INDEX(Fares!$C$2:$C$40,MIN(38,MAX(0,ROUNDUP(ROUND(Fares!$B$11+Fares!$B$28-3.2,1)-0.000000001,0)))+1))</f>
        <v/>
      </c>
      <c r="AC13">
        <f>Rides!$B$11/Rides!$B$41*Rides!$B$29/Rides!$B$41*(Fares!$C$11+Fares!$C$29-INDEX(Fares!$C$2:$C$40,MIN(38,MAX(0,ROUNDUP(ROUND(Fares!$B$11+Fares!$B$29-3.2,1)-0.000000001,0)))+1))</f>
        <v/>
      </c>
      <c r="AD13">
        <f>Rides!$B$11/Rides!$B$41*Rides!$B$30/Rides!$B$41*(Fares!$C$11+Fares!$C$30-INDEX(Fares!$C$2:$C$40,MIN(38,MAX(0,ROUNDUP(ROUND(Fares!$B$11+Fares!$B$30-3.2,1)-0.000000001,0)))+1))</f>
        <v/>
      </c>
      <c r="AE13">
        <f>Rides!$B$11/Rides!$B$41*Rides!$B$31/Rides!$B$41*(Fares!$C$11+Fares!$C$31-INDEX(Fares!$C$2:$C$40,MIN(38,MAX(0,ROUNDUP(ROUND(Fares!$B$11+Fares!$B$31-3.2,1)-0.000000001,0)))+1))</f>
        <v/>
      </c>
      <c r="AF13">
        <f>Rides!$B$11/Rides!$B$41*Rides!$B$32/Rides!$B$41*(Fares!$C$11+Fares!$C$32-INDEX(Fares!$C$2:$C$40,MIN(38,MAX(0,ROUNDUP(ROUND(Fares!$B$11+Fares!$B$32-3.2,1)-0.000000001,0)))+1))</f>
        <v/>
      </c>
      <c r="AG13">
        <f>Rides!$B$11/Rides!$B$41*Rides!$B$33/Rides!$B$41*(Fares!$C$11+Fares!$C$33-INDEX(Fares!$C$2:$C$40,MIN(38,MAX(0,ROUNDUP(ROUND(Fares!$B$11+Fares!$B$33-3.2,1)-0.000000001,0)))+1))</f>
        <v/>
      </c>
      <c r="AH13">
        <f>Rides!$B$11/Rides!$B$41*Rides!$B$34/Rides!$B$41*(Fares!$C$11+Fares!$C$34-INDEX(Fares!$C$2:$C$40,MIN(38,MAX(0,ROUNDUP(ROUND(Fares!$B$11+Fares!$B$34-3.2,1)-0.000000001,0)))+1))</f>
        <v/>
      </c>
      <c r="AI13">
        <f>Rides!$B$11/Rides!$B$41*Rides!$B$35/Rides!$B$41*(Fares!$C$11+Fares!$C$35-INDEX(Fares!$C$2:$C$40,MIN(38,MAX(0,ROUNDUP(ROUND(Fares!$B$11+Fares!$B$35-3.2,1)-0.000000001,0)))+1))</f>
        <v/>
      </c>
      <c r="AJ13">
        <f>Rides!$B$11/Rides!$B$41*Rides!$B$36/Rides!$B$41*(Fares!$C$11+Fares!$C$36-INDEX(Fares!$C$2:$C$40,MIN(38,MAX(0,ROUNDUP(ROUND(Fares!$B$11+Fares!$B$36-3.2,1)-0.000000001,0)))+1))</f>
        <v/>
      </c>
      <c r="AK13">
        <f>Rides!$B$11/Rides!$B$41*Rides!$B$37/Rides!$B$41*(Fares!$C$11+Fares!$C$37-INDEX(Fares!$C$2:$C$40,MIN(38,MAX(0,ROUNDUP(ROUND(Fares!$B$11+Fares!$B$37-3.2,1)-0.000000001,0)))+1))</f>
        <v/>
      </c>
      <c r="AL13">
        <f>Rides!$B$11/Rides!$B$41*Rides!$B$38/Rides!$B$41*(Fares!$C$11+Fares!$C$38-INDEX(Fares!$C$2:$C$40,MIN(38,MAX(0,ROUNDUP(ROUND(Fares!$B$11+Fares!$B$38-3.2,1)-0.000000001,0)))+1))</f>
        <v/>
      </c>
      <c r="AM13">
        <f>Rides!$B$11/Rides!$B$41*Rides!$B$39/Rides!$B$41*(Fares!$C$11+Fares!$C$39-INDEX(Fares!$C$2:$C$40,MIN(38,MAX(0,ROUNDUP(ROUND(Fares!$B$11+Fares!$B$39-3.2,1)-0.000000001,0)))+1))</f>
        <v/>
      </c>
      <c r="AN13">
        <f>Rides!$B$11/Rides!$B$41*Rides!$B$40/Rides!$B$41*(Fares!$C$11+Fares!$C$40-INDEX(Fares!$C$2:$C$40,MIN(38,MAX(0,ROUNDUP(ROUND(Fares!$B$11+Fares!$B$40-3.2,1)-0.000000001,0)))+1))</f>
        <v/>
      </c>
    </row>
    <row r="14">
      <c r="A14">
        <f>Fares!$B$12</f>
        <v/>
      </c>
      <c r="B14">
        <f>Rides!$B$12/Rides!$B$41*Rides!$B$2/Rides!$B$41*(Fares!$C$12+Fares!$C$2-INDEX(Fares!$C$2:$C$40,MIN(38,MAX(0,ROUNDUP(ROUND(Fares!$B$12+Fares!$B$2-3.2,1)-0.000000001,0)))+1))</f>
        <v/>
      </c>
      <c r="C14">
        <f>Rides!$B$12/Rides!$B$41*Rides!$B$3/Rides!$B$41*(Fares!$C$12+Fares!$C$3-INDEX(Fares!$C$2:$C$40,MIN(38,MAX(0,ROUNDUP(ROUND(Fares!$B$12+Fares!$B$3-3.2,1)-0.000000001,0)))+1))</f>
        <v/>
      </c>
      <c r="D14">
        <f>Rides!$B$12/Rides!$B$41*Rides!$B$4/Rides!$B$41*(Fares!$C$12+Fares!$C$4-INDEX(Fares!$C$2:$C$40,MIN(38,MAX(0,ROUNDUP(ROUND(Fares!$B$12+Fares!$B$4-3.2,1)-0.000000001,0)))+1))</f>
        <v/>
      </c>
      <c r="E14">
        <f>Rides!$B$12/Rides!$B$41*Rides!$B$5/Rides!$B$41*(Fares!$C$12+Fares!$C$5-INDEX(Fares!$C$2:$C$40,MIN(38,MAX(0,ROUNDUP(ROUND(Fares!$B$12+Fares!$B$5-3.2,1)-0.000000001,0)))+1))</f>
        <v/>
      </c>
      <c r="F14">
        <f>Rides!$B$12/Rides!$B$41*Rides!$B$6/Rides!$B$41*(Fares!$C$12+Fares!$C$6-INDEX(Fares!$C$2:$C$40,MIN(38,MAX(0,ROUNDUP(ROUND(Fares!$B$12+Fares!$B$6-3.2,1)-0.000000001,0)))+1))</f>
        <v/>
      </c>
      <c r="G14">
        <f>Rides!$B$12/Rides!$B$41*Rides!$B$7/Rides!$B$41*(Fares!$C$12+Fares!$C$7-INDEX(Fares!$C$2:$C$40,MIN(38,MAX(0,ROUNDUP(ROUND(Fares!$B$12+Fares!$B$7-3.2,1)-0.000000001,0)))+1))</f>
        <v/>
      </c>
      <c r="H14">
        <f>Rides!$B$12/Rides!$B$41*Rides!$B$8/Rides!$B$41*(Fares!$C$12+Fares!$C$8-INDEX(Fares!$C$2:$C$40,MIN(38,MAX(0,ROUNDUP(ROUND(Fares!$B$12+Fares!$B$8-3.2,1)-0.000000001,0)))+1))</f>
        <v/>
      </c>
      <c r="I14">
        <f>Rides!$B$12/Rides!$B$41*Rides!$B$9/Rides!$B$41*(Fares!$C$12+Fares!$C$9-INDEX(Fares!$C$2:$C$40,MIN(38,MAX(0,ROUNDUP(ROUND(Fares!$B$12+Fares!$B$9-3.2,1)-0.000000001,0)))+1))</f>
        <v/>
      </c>
      <c r="J14">
        <f>Rides!$B$12/Rides!$B$41*Rides!$B$10/Rides!$B$41*(Fares!$C$12+Fares!$C$10-INDEX(Fares!$C$2:$C$40,MIN(38,MAX(0,ROUNDUP(ROUND(Fares!$B$12+Fares!$B$10-3.2,1)-0.000000001,0)))+1))</f>
        <v/>
      </c>
      <c r="K14">
        <f>Rides!$B$12/Rides!$B$41*Rides!$B$11/Rides!$B$41*(Fares!$C$12+Fares!$C$11-INDEX(Fares!$C$2:$C$40,MIN(38,MAX(0,ROUNDUP(ROUND(Fares!$B$12+Fares!$B$11-3.2,1)-0.000000001,0)))+1))</f>
        <v/>
      </c>
      <c r="L14">
        <f>Rides!$B$12/Rides!$B$41*Rides!$B$12/Rides!$B$41*(Fares!$C$12+Fares!$C$12-INDEX(Fares!$C$2:$C$40,MIN(38,MAX(0,ROUNDUP(ROUND(Fares!$B$12+Fares!$B$12-3.2,1)-0.000000001,0)))+1))</f>
        <v/>
      </c>
      <c r="M14">
        <f>Rides!$B$12/Rides!$B$41*Rides!$B$13/Rides!$B$41*(Fares!$C$12+Fares!$C$13-INDEX(Fares!$C$2:$C$40,MIN(38,MAX(0,ROUNDUP(ROUND(Fares!$B$12+Fares!$B$13-3.2,1)-0.000000001,0)))+1))</f>
        <v/>
      </c>
      <c r="N14">
        <f>Rides!$B$12/Rides!$B$41*Rides!$B$14/Rides!$B$41*(Fares!$C$12+Fares!$C$14-INDEX(Fares!$C$2:$C$40,MIN(38,MAX(0,ROUNDUP(ROUND(Fares!$B$12+Fares!$B$14-3.2,1)-0.000000001,0)))+1))</f>
        <v/>
      </c>
      <c r="O14">
        <f>Rides!$B$12/Rides!$B$41*Rides!$B$15/Rides!$B$41*(Fares!$C$12+Fares!$C$15-INDEX(Fares!$C$2:$C$40,MIN(38,MAX(0,ROUNDUP(ROUND(Fares!$B$12+Fares!$B$15-3.2,1)-0.000000001,0)))+1))</f>
        <v/>
      </c>
      <c r="P14">
        <f>Rides!$B$12/Rides!$B$41*Rides!$B$16/Rides!$B$41*(Fares!$C$12+Fares!$C$16-INDEX(Fares!$C$2:$C$40,MIN(38,MAX(0,ROUNDUP(ROUND(Fares!$B$12+Fares!$B$16-3.2,1)-0.000000001,0)))+1))</f>
        <v/>
      </c>
      <c r="Q14">
        <f>Rides!$B$12/Rides!$B$41*Rides!$B$17/Rides!$B$41*(Fares!$C$12+Fares!$C$17-INDEX(Fares!$C$2:$C$40,MIN(38,MAX(0,ROUNDUP(ROUND(Fares!$B$12+Fares!$B$17-3.2,1)-0.000000001,0)))+1))</f>
        <v/>
      </c>
      <c r="R14">
        <f>Rides!$B$12/Rides!$B$41*Rides!$B$18/Rides!$B$41*(Fares!$C$12+Fares!$C$18-INDEX(Fares!$C$2:$C$40,MIN(38,MAX(0,ROUNDUP(ROUND(Fares!$B$12+Fares!$B$18-3.2,1)-0.000000001,0)))+1))</f>
        <v/>
      </c>
      <c r="S14">
        <f>Rides!$B$12/Rides!$B$41*Rides!$B$19/Rides!$B$41*(Fares!$C$12+Fares!$C$19-INDEX(Fares!$C$2:$C$40,MIN(38,MAX(0,ROUNDUP(ROUND(Fares!$B$12+Fares!$B$19-3.2,1)-0.000000001,0)))+1))</f>
        <v/>
      </c>
      <c r="T14">
        <f>Rides!$B$12/Rides!$B$41*Rides!$B$20/Rides!$B$41*(Fares!$C$12+Fares!$C$20-INDEX(Fares!$C$2:$C$40,MIN(38,MAX(0,ROUNDUP(ROUND(Fares!$B$12+Fares!$B$20-3.2,1)-0.000000001,0)))+1))</f>
        <v/>
      </c>
      <c r="U14">
        <f>Rides!$B$12/Rides!$B$41*Rides!$B$21/Rides!$B$41*(Fares!$C$12+Fares!$C$21-INDEX(Fares!$C$2:$C$40,MIN(38,MAX(0,ROUNDUP(ROUND(Fares!$B$12+Fares!$B$21-3.2,1)-0.000000001,0)))+1))</f>
        <v/>
      </c>
      <c r="V14">
        <f>Rides!$B$12/Rides!$B$41*Rides!$B$22/Rides!$B$41*(Fares!$C$12+Fares!$C$22-INDEX(Fares!$C$2:$C$40,MIN(38,MAX(0,ROUNDUP(ROUND(Fares!$B$12+Fares!$B$22-3.2,1)-0.000000001,0)))+1))</f>
        <v/>
      </c>
      <c r="W14">
        <f>Rides!$B$12/Rides!$B$41*Rides!$B$23/Rides!$B$41*(Fares!$C$12+Fares!$C$23-INDEX(Fares!$C$2:$C$40,MIN(38,MAX(0,ROUNDUP(ROUND(Fares!$B$12+Fares!$B$23-3.2,1)-0.000000001,0)))+1))</f>
        <v/>
      </c>
      <c r="X14">
        <f>Rides!$B$12/Rides!$B$41*Rides!$B$24/Rides!$B$41*(Fares!$C$12+Fares!$C$24-INDEX(Fares!$C$2:$C$40,MIN(38,MAX(0,ROUNDUP(ROUND(Fares!$B$12+Fares!$B$24-3.2,1)-0.000000001,0)))+1))</f>
        <v/>
      </c>
      <c r="Y14">
        <f>Rides!$B$12/Rides!$B$41*Rides!$B$25/Rides!$B$41*(Fares!$C$12+Fares!$C$25-INDEX(Fares!$C$2:$C$40,MIN(38,MAX(0,ROUNDUP(ROUND(Fares!$B$12+Fares!$B$25-3.2,1)-0.000000001,0)))+1))</f>
        <v/>
      </c>
      <c r="Z14">
        <f>Rides!$B$12/Rides!$B$41*Rides!$B$26/Rides!$B$41*(Fares!$C$12+Fares!$C$26-INDEX(Fares!$C$2:$C$40,MIN(38,MAX(0,ROUNDUP(ROUND(Fares!$B$12+Fares!$B$26-3.2,1)-0.000000001,0)))+1))</f>
        <v/>
      </c>
      <c r="AA14">
        <f>Rides!$B$12/Rides!$B$41*Rides!$B$27/Rides!$B$41*(Fares!$C$12+Fares!$C$27-INDEX(Fares!$C$2:$C$40,MIN(38,MAX(0,ROUNDUP(ROUND(Fares!$B$12+Fares!$B$27-3.2,1)-0.000000001,0)))+1))</f>
        <v/>
      </c>
      <c r="AB14">
        <f>Rides!$B$12/Rides!$B$41*Rides!$B$28/Rides!$B$41*(Fares!$C$12+Fares!$C$28-INDEX(Fares!$C$2:$C$40,MIN(38,MAX(0,ROUNDUP(ROUND(Fares!$B$12+Fares!$B$28-3.2,1)-0.000000001,0)))+1))</f>
        <v/>
      </c>
      <c r="AC14">
        <f>Rides!$B$12/Rides!$B$41*Rides!$B$29/Rides!$B$41*(Fares!$C$12+Fares!$C$29-INDEX(Fares!$C$2:$C$40,MIN(38,MAX(0,ROUNDUP(ROUND(Fares!$B$12+Fares!$B$29-3.2,1)-0.000000001,0)))+1))</f>
        <v/>
      </c>
      <c r="AD14">
        <f>Rides!$B$12/Rides!$B$41*Rides!$B$30/Rides!$B$41*(Fares!$C$12+Fares!$C$30-INDEX(Fares!$C$2:$C$40,MIN(38,MAX(0,ROUNDUP(ROUND(Fares!$B$12+Fares!$B$30-3.2,1)-0.000000001,0)))+1))</f>
        <v/>
      </c>
      <c r="AE14">
        <f>Rides!$B$12/Rides!$B$41*Rides!$B$31/Rides!$B$41*(Fares!$C$12+Fares!$C$31-INDEX(Fares!$C$2:$C$40,MIN(38,MAX(0,ROUNDUP(ROUND(Fares!$B$12+Fares!$B$31-3.2,1)-0.000000001,0)))+1))</f>
        <v/>
      </c>
      <c r="AF14">
        <f>Rides!$B$12/Rides!$B$41*Rides!$B$32/Rides!$B$41*(Fares!$C$12+Fares!$C$32-INDEX(Fares!$C$2:$C$40,MIN(38,MAX(0,ROUNDUP(ROUND(Fares!$B$12+Fares!$B$32-3.2,1)-0.000000001,0)))+1))</f>
        <v/>
      </c>
      <c r="AG14">
        <f>Rides!$B$12/Rides!$B$41*Rides!$B$33/Rides!$B$41*(Fares!$C$12+Fares!$C$33-INDEX(Fares!$C$2:$C$40,MIN(38,MAX(0,ROUNDUP(ROUND(Fares!$B$12+Fares!$B$33-3.2,1)-0.000000001,0)))+1))</f>
        <v/>
      </c>
      <c r="AH14">
        <f>Rides!$B$12/Rides!$B$41*Rides!$B$34/Rides!$B$41*(Fares!$C$12+Fares!$C$34-INDEX(Fares!$C$2:$C$40,MIN(38,MAX(0,ROUNDUP(ROUND(Fares!$B$12+Fares!$B$34-3.2,1)-0.000000001,0)))+1))</f>
        <v/>
      </c>
      <c r="AI14">
        <f>Rides!$B$12/Rides!$B$41*Rides!$B$35/Rides!$B$41*(Fares!$C$12+Fares!$C$35-INDEX(Fares!$C$2:$C$40,MIN(38,MAX(0,ROUNDUP(ROUND(Fares!$B$12+Fares!$B$35-3.2,1)-0.000000001,0)))+1))</f>
        <v/>
      </c>
      <c r="AJ14">
        <f>Rides!$B$12/Rides!$B$41*Rides!$B$36/Rides!$B$41*(Fares!$C$12+Fares!$C$36-INDEX(Fares!$C$2:$C$40,MIN(38,MAX(0,ROUNDUP(ROUND(Fares!$B$12+Fares!$B$36-3.2,1)-0.000000001,0)))+1))</f>
        <v/>
      </c>
      <c r="AK14">
        <f>Rides!$B$12/Rides!$B$41*Rides!$B$37/Rides!$B$41*(Fares!$C$12+Fares!$C$37-INDEX(Fares!$C$2:$C$40,MIN(38,MAX(0,ROUNDUP(ROUND(Fares!$B$12+Fares!$B$37-3.2,1)-0.000000001,0)))+1))</f>
        <v/>
      </c>
      <c r="AL14">
        <f>Rides!$B$12/Rides!$B$41*Rides!$B$38/Rides!$B$41*(Fares!$C$12+Fares!$C$38-INDEX(Fares!$C$2:$C$40,MIN(38,MAX(0,ROUNDUP(ROUND(Fares!$B$12+Fares!$B$38-3.2,1)-0.000000001,0)))+1))</f>
        <v/>
      </c>
      <c r="AM14">
        <f>Rides!$B$12/Rides!$B$41*Rides!$B$39/Rides!$B$41*(Fares!$C$12+Fares!$C$39-INDEX(Fares!$C$2:$C$40,MIN(38,MAX(0,ROUNDUP(ROUND(Fares!$B$12+Fares!$B$39-3.2,1)-0.000000001,0)))+1))</f>
        <v/>
      </c>
      <c r="AN14">
        <f>Rides!$B$12/Rides!$B$41*Rides!$B$40/Rides!$B$41*(Fares!$C$12+Fares!$C$40-INDEX(Fares!$C$2:$C$40,MIN(38,MAX(0,ROUNDUP(ROUND(Fares!$B$12+Fares!$B$40-3.2,1)-0.000000001,0)))+1))</f>
        <v/>
      </c>
    </row>
    <row r="15">
      <c r="A15">
        <f>Fares!$B$13</f>
        <v/>
      </c>
      <c r="B15">
        <f>Rides!$B$13/Rides!$B$41*Rides!$B$2/Rides!$B$41*(Fares!$C$13+Fares!$C$2-INDEX(Fares!$C$2:$C$40,MIN(38,MAX(0,ROUNDUP(ROUND(Fares!$B$13+Fares!$B$2-3.2,1)-0.000000001,0)))+1))</f>
        <v/>
      </c>
      <c r="C15">
        <f>Rides!$B$13/Rides!$B$41*Rides!$B$3/Rides!$B$41*(Fares!$C$13+Fares!$C$3-INDEX(Fares!$C$2:$C$40,MIN(38,MAX(0,ROUNDUP(ROUND(Fares!$B$13+Fares!$B$3-3.2,1)-0.000000001,0)))+1))</f>
        <v/>
      </c>
      <c r="D15">
        <f>Rides!$B$13/Rides!$B$41*Rides!$B$4/Rides!$B$41*(Fares!$C$13+Fares!$C$4-INDEX(Fares!$C$2:$C$40,MIN(38,MAX(0,ROUNDUP(ROUND(Fares!$B$13+Fares!$B$4-3.2,1)-0.000000001,0)))+1))</f>
        <v/>
      </c>
      <c r="E15">
        <f>Rides!$B$13/Rides!$B$41*Rides!$B$5/Rides!$B$41*(Fares!$C$13+Fares!$C$5-INDEX(Fares!$C$2:$C$40,MIN(38,MAX(0,ROUNDUP(ROUND(Fares!$B$13+Fares!$B$5-3.2,1)-0.000000001,0)))+1))</f>
        <v/>
      </c>
      <c r="F15">
        <f>Rides!$B$13/Rides!$B$41*Rides!$B$6/Rides!$B$41*(Fares!$C$13+Fares!$C$6-INDEX(Fares!$C$2:$C$40,MIN(38,MAX(0,ROUNDUP(ROUND(Fares!$B$13+Fares!$B$6-3.2,1)-0.000000001,0)))+1))</f>
        <v/>
      </c>
      <c r="G15">
        <f>Rides!$B$13/Rides!$B$41*Rides!$B$7/Rides!$B$41*(Fares!$C$13+Fares!$C$7-INDEX(Fares!$C$2:$C$40,MIN(38,MAX(0,ROUNDUP(ROUND(Fares!$B$13+Fares!$B$7-3.2,1)-0.000000001,0)))+1))</f>
        <v/>
      </c>
      <c r="H15">
        <f>Rides!$B$13/Rides!$B$41*Rides!$B$8/Rides!$B$41*(Fares!$C$13+Fares!$C$8-INDEX(Fares!$C$2:$C$40,MIN(38,MAX(0,ROUNDUP(ROUND(Fares!$B$13+Fares!$B$8-3.2,1)-0.000000001,0)))+1))</f>
        <v/>
      </c>
      <c r="I15">
        <f>Rides!$B$13/Rides!$B$41*Rides!$B$9/Rides!$B$41*(Fares!$C$13+Fares!$C$9-INDEX(Fares!$C$2:$C$40,MIN(38,MAX(0,ROUNDUP(ROUND(Fares!$B$13+Fares!$B$9-3.2,1)-0.000000001,0)))+1))</f>
        <v/>
      </c>
      <c r="J15">
        <f>Rides!$B$13/Rides!$B$41*Rides!$B$10/Rides!$B$41*(Fares!$C$13+Fares!$C$10-INDEX(Fares!$C$2:$C$40,MIN(38,MAX(0,ROUNDUP(ROUND(Fares!$B$13+Fares!$B$10-3.2,1)-0.000000001,0)))+1))</f>
        <v/>
      </c>
      <c r="K15">
        <f>Rides!$B$13/Rides!$B$41*Rides!$B$11/Rides!$B$41*(Fares!$C$13+Fares!$C$11-INDEX(Fares!$C$2:$C$40,MIN(38,MAX(0,ROUNDUP(ROUND(Fares!$B$13+Fares!$B$11-3.2,1)-0.000000001,0)))+1))</f>
        <v/>
      </c>
      <c r="L15">
        <f>Rides!$B$13/Rides!$B$41*Rides!$B$12/Rides!$B$41*(Fares!$C$13+Fares!$C$12-INDEX(Fares!$C$2:$C$40,MIN(38,MAX(0,ROUNDUP(ROUND(Fares!$B$13+Fares!$B$12-3.2,1)-0.000000001,0)))+1))</f>
        <v/>
      </c>
      <c r="M15">
        <f>Rides!$B$13/Rides!$B$41*Rides!$B$13/Rides!$B$41*(Fares!$C$13+Fares!$C$13-INDEX(Fares!$C$2:$C$40,MIN(38,MAX(0,ROUNDUP(ROUND(Fares!$B$13+Fares!$B$13-3.2,1)-0.000000001,0)))+1))</f>
        <v/>
      </c>
      <c r="N15">
        <f>Rides!$B$13/Rides!$B$41*Rides!$B$14/Rides!$B$41*(Fares!$C$13+Fares!$C$14-INDEX(Fares!$C$2:$C$40,MIN(38,MAX(0,ROUNDUP(ROUND(Fares!$B$13+Fares!$B$14-3.2,1)-0.000000001,0)))+1))</f>
        <v/>
      </c>
      <c r="O15">
        <f>Rides!$B$13/Rides!$B$41*Rides!$B$15/Rides!$B$41*(Fares!$C$13+Fares!$C$15-INDEX(Fares!$C$2:$C$40,MIN(38,MAX(0,ROUNDUP(ROUND(Fares!$B$13+Fares!$B$15-3.2,1)-0.000000001,0)))+1))</f>
        <v/>
      </c>
      <c r="P15">
        <f>Rides!$B$13/Rides!$B$41*Rides!$B$16/Rides!$B$41*(Fares!$C$13+Fares!$C$16-INDEX(Fares!$C$2:$C$40,MIN(38,MAX(0,ROUNDUP(ROUND(Fares!$B$13+Fares!$B$16-3.2,1)-0.000000001,0)))+1))</f>
        <v/>
      </c>
      <c r="Q15">
        <f>Rides!$B$13/Rides!$B$41*Rides!$B$17/Rides!$B$41*(Fares!$C$13+Fares!$C$17-INDEX(Fares!$C$2:$C$40,MIN(38,MAX(0,ROUNDUP(ROUND(Fares!$B$13+Fares!$B$17-3.2,1)-0.000000001,0)))+1))</f>
        <v/>
      </c>
      <c r="R15">
        <f>Rides!$B$13/Rides!$B$41*Rides!$B$18/Rides!$B$41*(Fares!$C$13+Fares!$C$18-INDEX(Fares!$C$2:$C$40,MIN(38,MAX(0,ROUNDUP(ROUND(Fares!$B$13+Fares!$B$18-3.2,1)-0.000000001,0)))+1))</f>
        <v/>
      </c>
      <c r="S15">
        <f>Rides!$B$13/Rides!$B$41*Rides!$B$19/Rides!$B$41*(Fares!$C$13+Fares!$C$19-INDEX(Fares!$C$2:$C$40,MIN(38,MAX(0,ROUNDUP(ROUND(Fares!$B$13+Fares!$B$19-3.2,1)-0.000000001,0)))+1))</f>
        <v/>
      </c>
      <c r="T15">
        <f>Rides!$B$13/Rides!$B$41*Rides!$B$20/Rides!$B$41*(Fares!$C$13+Fares!$C$20-INDEX(Fares!$C$2:$C$40,MIN(38,MAX(0,ROUNDUP(ROUND(Fares!$B$13+Fares!$B$20-3.2,1)-0.000000001,0)))+1))</f>
        <v/>
      </c>
      <c r="U15">
        <f>Rides!$B$13/Rides!$B$41*Rides!$B$21/Rides!$B$41*(Fares!$C$13+Fares!$C$21-INDEX(Fares!$C$2:$C$40,MIN(38,MAX(0,ROUNDUP(ROUND(Fares!$B$13+Fares!$B$21-3.2,1)-0.000000001,0)))+1))</f>
        <v/>
      </c>
      <c r="V15">
        <f>Rides!$B$13/Rides!$B$41*Rides!$B$22/Rides!$B$41*(Fares!$C$13+Fares!$C$22-INDEX(Fares!$C$2:$C$40,MIN(38,MAX(0,ROUNDUP(ROUND(Fares!$B$13+Fares!$B$22-3.2,1)-0.000000001,0)))+1))</f>
        <v/>
      </c>
      <c r="W15">
        <f>Rides!$B$13/Rides!$B$41*Rides!$B$23/Rides!$B$41*(Fares!$C$13+Fares!$C$23-INDEX(Fares!$C$2:$C$40,MIN(38,MAX(0,ROUNDUP(ROUND(Fares!$B$13+Fares!$B$23-3.2,1)-0.000000001,0)))+1))</f>
        <v/>
      </c>
      <c r="X15">
        <f>Rides!$B$13/Rides!$B$41*Rides!$B$24/Rides!$B$41*(Fares!$C$13+Fares!$C$24-INDEX(Fares!$C$2:$C$40,MIN(38,MAX(0,ROUNDUP(ROUND(Fares!$B$13+Fares!$B$24-3.2,1)-0.000000001,0)))+1))</f>
        <v/>
      </c>
      <c r="Y15">
        <f>Rides!$B$13/Rides!$B$41*Rides!$B$25/Rides!$B$41*(Fares!$C$13+Fares!$C$25-INDEX(Fares!$C$2:$C$40,MIN(38,MAX(0,ROUNDUP(ROUND(Fares!$B$13+Fares!$B$25-3.2,1)-0.000000001,0)))+1))</f>
        <v/>
      </c>
      <c r="Z15">
        <f>Rides!$B$13/Rides!$B$41*Rides!$B$26/Rides!$B$41*(Fares!$C$13+Fares!$C$26-INDEX(Fares!$C$2:$C$40,MIN(38,MAX(0,ROUNDUP(ROUND(Fares!$B$13+Fares!$B$26-3.2,1)-0.000000001,0)))+1))</f>
        <v/>
      </c>
      <c r="AA15">
        <f>Rides!$B$13/Rides!$B$41*Rides!$B$27/Rides!$B$41*(Fares!$C$13+Fares!$C$27-INDEX(Fares!$C$2:$C$40,MIN(38,MAX(0,ROUNDUP(ROUND(Fares!$B$13+Fares!$B$27-3.2,1)-0.000000001,0)))+1))</f>
        <v/>
      </c>
      <c r="AB15">
        <f>Rides!$B$13/Rides!$B$41*Rides!$B$28/Rides!$B$41*(Fares!$C$13+Fares!$C$28-INDEX(Fares!$C$2:$C$40,MIN(38,MAX(0,ROUNDUP(ROUND(Fares!$B$13+Fares!$B$28-3.2,1)-0.000000001,0)))+1))</f>
        <v/>
      </c>
      <c r="AC15">
        <f>Rides!$B$13/Rides!$B$41*Rides!$B$29/Rides!$B$41*(Fares!$C$13+Fares!$C$29-INDEX(Fares!$C$2:$C$40,MIN(38,MAX(0,ROUNDUP(ROUND(Fares!$B$13+Fares!$B$29-3.2,1)-0.000000001,0)))+1))</f>
        <v/>
      </c>
      <c r="AD15">
        <f>Rides!$B$13/Rides!$B$41*Rides!$B$30/Rides!$B$41*(Fares!$C$13+Fares!$C$30-INDEX(Fares!$C$2:$C$40,MIN(38,MAX(0,ROUNDUP(ROUND(Fares!$B$13+Fares!$B$30-3.2,1)-0.000000001,0)))+1))</f>
        <v/>
      </c>
      <c r="AE15">
        <f>Rides!$B$13/Rides!$B$41*Rides!$B$31/Rides!$B$41*(Fares!$C$13+Fares!$C$31-INDEX(Fares!$C$2:$C$40,MIN(38,MAX(0,ROUNDUP(ROUND(Fares!$B$13+Fares!$B$31-3.2,1)-0.000000001,0)))+1))</f>
        <v/>
      </c>
      <c r="AF15">
        <f>Rides!$B$13/Rides!$B$41*Rides!$B$32/Rides!$B$41*(Fares!$C$13+Fares!$C$32-INDEX(Fares!$C$2:$C$40,MIN(38,MAX(0,ROUNDUP(ROUND(Fares!$B$13+Fares!$B$32-3.2,1)-0.000000001,0)))+1))</f>
        <v/>
      </c>
      <c r="AG15">
        <f>Rides!$B$13/Rides!$B$41*Rides!$B$33/Rides!$B$41*(Fares!$C$13+Fares!$C$33-INDEX(Fares!$C$2:$C$40,MIN(38,MAX(0,ROUNDUP(ROUND(Fares!$B$13+Fares!$B$33-3.2,1)-0.000000001,0)))+1))</f>
        <v/>
      </c>
      <c r="AH15">
        <f>Rides!$B$13/Rides!$B$41*Rides!$B$34/Rides!$B$41*(Fares!$C$13+Fares!$C$34-INDEX(Fares!$C$2:$C$40,MIN(38,MAX(0,ROUNDUP(ROUND(Fares!$B$13+Fares!$B$34-3.2,1)-0.000000001,0)))+1))</f>
        <v/>
      </c>
      <c r="AI15">
        <f>Rides!$B$13/Rides!$B$41*Rides!$B$35/Rides!$B$41*(Fares!$C$13+Fares!$C$35-INDEX(Fares!$C$2:$C$40,MIN(38,MAX(0,ROUNDUP(ROUND(Fares!$B$13+Fares!$B$35-3.2,1)-0.000000001,0)))+1))</f>
        <v/>
      </c>
      <c r="AJ15">
        <f>Rides!$B$13/Rides!$B$41*Rides!$B$36/Rides!$B$41*(Fares!$C$13+Fares!$C$36-INDEX(Fares!$C$2:$C$40,MIN(38,MAX(0,ROUNDUP(ROUND(Fares!$B$13+Fares!$B$36-3.2,1)-0.000000001,0)))+1))</f>
        <v/>
      </c>
      <c r="AK15">
        <f>Rides!$B$13/Rides!$B$41*Rides!$B$37/Rides!$B$41*(Fares!$C$13+Fares!$C$37-INDEX(Fares!$C$2:$C$40,MIN(38,MAX(0,ROUNDUP(ROUND(Fares!$B$13+Fares!$B$37-3.2,1)-0.000000001,0)))+1))</f>
        <v/>
      </c>
      <c r="AL15">
        <f>Rides!$B$13/Rides!$B$41*Rides!$B$38/Rides!$B$41*(Fares!$C$13+Fares!$C$38-INDEX(Fares!$C$2:$C$40,MIN(38,MAX(0,ROUNDUP(ROUND(Fares!$B$13+Fares!$B$38-3.2,1)-0.000000001,0)))+1))</f>
        <v/>
      </c>
      <c r="AM15">
        <f>Rides!$B$13/Rides!$B$41*Rides!$B$39/Rides!$B$41*(Fares!$C$13+Fares!$C$39-INDEX(Fares!$C$2:$C$40,MIN(38,MAX(0,ROUNDUP(ROUND(Fares!$B$13+Fares!$B$39-3.2,1)-0.000000001,0)))+1))</f>
        <v/>
      </c>
      <c r="AN15">
        <f>Rides!$B$13/Rides!$B$41*Rides!$B$40/Rides!$B$41*(Fares!$C$13+Fares!$C$40-INDEX(Fares!$C$2:$C$40,MIN(38,MAX(0,ROUNDUP(ROUND(Fares!$B$13+Fares!$B$40-3.2,1)-0.000000001,0)))+1))</f>
        <v/>
      </c>
    </row>
    <row r="16">
      <c r="A16">
        <f>Fares!$B$14</f>
        <v/>
      </c>
      <c r="B16">
        <f>Rides!$B$14/Rides!$B$41*Rides!$B$2/Rides!$B$41*(Fares!$C$14+Fares!$C$2-INDEX(Fares!$C$2:$C$40,MIN(38,MAX(0,ROUNDUP(ROUND(Fares!$B$14+Fares!$B$2-3.2,1)-0.000000001,0)))+1))</f>
        <v/>
      </c>
      <c r="C16">
        <f>Rides!$B$14/Rides!$B$41*Rides!$B$3/Rides!$B$41*(Fares!$C$14+Fares!$C$3-INDEX(Fares!$C$2:$C$40,MIN(38,MAX(0,ROUNDUP(ROUND(Fares!$B$14+Fares!$B$3-3.2,1)-0.000000001,0)))+1))</f>
        <v/>
      </c>
      <c r="D16">
        <f>Rides!$B$14/Rides!$B$41*Rides!$B$4/Rides!$B$41*(Fares!$C$14+Fares!$C$4-INDEX(Fares!$C$2:$C$40,MIN(38,MAX(0,ROUNDUP(ROUND(Fares!$B$14+Fares!$B$4-3.2,1)-0.000000001,0)))+1))</f>
        <v/>
      </c>
      <c r="E16">
        <f>Rides!$B$14/Rides!$B$41*Rides!$B$5/Rides!$B$41*(Fares!$C$14+Fares!$C$5-INDEX(Fares!$C$2:$C$40,MIN(38,MAX(0,ROUNDUP(ROUND(Fares!$B$14+Fares!$B$5-3.2,1)-0.000000001,0)))+1))</f>
        <v/>
      </c>
      <c r="F16">
        <f>Rides!$B$14/Rides!$B$41*Rides!$B$6/Rides!$B$41*(Fares!$C$14+Fares!$C$6-INDEX(Fares!$C$2:$C$40,MIN(38,MAX(0,ROUNDUP(ROUND(Fares!$B$14+Fares!$B$6-3.2,1)-0.000000001,0)))+1))</f>
        <v/>
      </c>
      <c r="G16">
        <f>Rides!$B$14/Rides!$B$41*Rides!$B$7/Rides!$B$41*(Fares!$C$14+Fares!$C$7-INDEX(Fares!$C$2:$C$40,MIN(38,MAX(0,ROUNDUP(ROUND(Fares!$B$14+Fares!$B$7-3.2,1)-0.000000001,0)))+1))</f>
        <v/>
      </c>
      <c r="H16">
        <f>Rides!$B$14/Rides!$B$41*Rides!$B$8/Rides!$B$41*(Fares!$C$14+Fares!$C$8-INDEX(Fares!$C$2:$C$40,MIN(38,MAX(0,ROUNDUP(ROUND(Fares!$B$14+Fares!$B$8-3.2,1)-0.000000001,0)))+1))</f>
        <v/>
      </c>
      <c r="I16">
        <f>Rides!$B$14/Rides!$B$41*Rides!$B$9/Rides!$B$41*(Fares!$C$14+Fares!$C$9-INDEX(Fares!$C$2:$C$40,MIN(38,MAX(0,ROUNDUP(ROUND(Fares!$B$14+Fares!$B$9-3.2,1)-0.000000001,0)))+1))</f>
        <v/>
      </c>
      <c r="J16">
        <f>Rides!$B$14/Rides!$B$41*Rides!$B$10/Rides!$B$41*(Fares!$C$14+Fares!$C$10-INDEX(Fares!$C$2:$C$40,MIN(38,MAX(0,ROUNDUP(ROUND(Fares!$B$14+Fares!$B$10-3.2,1)-0.000000001,0)))+1))</f>
        <v/>
      </c>
      <c r="K16">
        <f>Rides!$B$14/Rides!$B$41*Rides!$B$11/Rides!$B$41*(Fares!$C$14+Fares!$C$11-INDEX(Fares!$C$2:$C$40,MIN(38,MAX(0,ROUNDUP(ROUND(Fares!$B$14+Fares!$B$11-3.2,1)-0.000000001,0)))+1))</f>
        <v/>
      </c>
      <c r="L16">
        <f>Rides!$B$14/Rides!$B$41*Rides!$B$12/Rides!$B$41*(Fares!$C$14+Fares!$C$12-INDEX(Fares!$C$2:$C$40,MIN(38,MAX(0,ROUNDUP(ROUND(Fares!$B$14+Fares!$B$12-3.2,1)-0.000000001,0)))+1))</f>
        <v/>
      </c>
      <c r="M16">
        <f>Rides!$B$14/Rides!$B$41*Rides!$B$13/Rides!$B$41*(Fares!$C$14+Fares!$C$13-INDEX(Fares!$C$2:$C$40,MIN(38,MAX(0,ROUNDUP(ROUND(Fares!$B$14+Fares!$B$13-3.2,1)-0.000000001,0)))+1))</f>
        <v/>
      </c>
      <c r="N16">
        <f>Rides!$B$14/Rides!$B$41*Rides!$B$14/Rides!$B$41*(Fares!$C$14+Fares!$C$14-INDEX(Fares!$C$2:$C$40,MIN(38,MAX(0,ROUNDUP(ROUND(Fares!$B$14+Fares!$B$14-3.2,1)-0.000000001,0)))+1))</f>
        <v/>
      </c>
      <c r="O16">
        <f>Rides!$B$14/Rides!$B$41*Rides!$B$15/Rides!$B$41*(Fares!$C$14+Fares!$C$15-INDEX(Fares!$C$2:$C$40,MIN(38,MAX(0,ROUNDUP(ROUND(Fares!$B$14+Fares!$B$15-3.2,1)-0.000000001,0)))+1))</f>
        <v/>
      </c>
      <c r="P16">
        <f>Rides!$B$14/Rides!$B$41*Rides!$B$16/Rides!$B$41*(Fares!$C$14+Fares!$C$16-INDEX(Fares!$C$2:$C$40,MIN(38,MAX(0,ROUNDUP(ROUND(Fares!$B$14+Fares!$B$16-3.2,1)-0.000000001,0)))+1))</f>
        <v/>
      </c>
      <c r="Q16">
        <f>Rides!$B$14/Rides!$B$41*Rides!$B$17/Rides!$B$41*(Fares!$C$14+Fares!$C$17-INDEX(Fares!$C$2:$C$40,MIN(38,MAX(0,ROUNDUP(ROUND(Fares!$B$14+Fares!$B$17-3.2,1)-0.000000001,0)))+1))</f>
        <v/>
      </c>
      <c r="R16">
        <f>Rides!$B$14/Rides!$B$41*Rides!$B$18/Rides!$B$41*(Fares!$C$14+Fares!$C$18-INDEX(Fares!$C$2:$C$40,MIN(38,MAX(0,ROUNDUP(ROUND(Fares!$B$14+Fares!$B$18-3.2,1)-0.000000001,0)))+1))</f>
        <v/>
      </c>
      <c r="S16">
        <f>Rides!$B$14/Rides!$B$41*Rides!$B$19/Rides!$B$41*(Fares!$C$14+Fares!$C$19-INDEX(Fares!$C$2:$C$40,MIN(38,MAX(0,ROUNDUP(ROUND(Fares!$B$14+Fares!$B$19-3.2,1)-0.000000001,0)))+1))</f>
        <v/>
      </c>
      <c r="T16">
        <f>Rides!$B$14/Rides!$B$41*Rides!$B$20/Rides!$B$41*(Fares!$C$14+Fares!$C$20-INDEX(Fares!$C$2:$C$40,MIN(38,MAX(0,ROUNDUP(ROUND(Fares!$B$14+Fares!$B$20-3.2,1)-0.000000001,0)))+1))</f>
        <v/>
      </c>
      <c r="U16">
        <f>Rides!$B$14/Rides!$B$41*Rides!$B$21/Rides!$B$41*(Fares!$C$14+Fares!$C$21-INDEX(Fares!$C$2:$C$40,MIN(38,MAX(0,ROUNDUP(ROUND(Fares!$B$14+Fares!$B$21-3.2,1)-0.000000001,0)))+1))</f>
        <v/>
      </c>
      <c r="V16">
        <f>Rides!$B$14/Rides!$B$41*Rides!$B$22/Rides!$B$41*(Fares!$C$14+Fares!$C$22-INDEX(Fares!$C$2:$C$40,MIN(38,MAX(0,ROUNDUP(ROUND(Fares!$B$14+Fares!$B$22-3.2,1)-0.000000001,0)))+1))</f>
        <v/>
      </c>
      <c r="W16">
        <f>Rides!$B$14/Rides!$B$41*Rides!$B$23/Rides!$B$41*(Fares!$C$14+Fares!$C$23-INDEX(Fares!$C$2:$C$40,MIN(38,MAX(0,ROUNDUP(ROUND(Fares!$B$14+Fares!$B$23-3.2,1)-0.000000001,0)))+1))</f>
        <v/>
      </c>
      <c r="X16">
        <f>Rides!$B$14/Rides!$B$41*Rides!$B$24/Rides!$B$41*(Fares!$C$14+Fares!$C$24-INDEX(Fares!$C$2:$C$40,MIN(38,MAX(0,ROUNDUP(ROUND(Fares!$B$14+Fares!$B$24-3.2,1)-0.000000001,0)))+1))</f>
        <v/>
      </c>
      <c r="Y16">
        <f>Rides!$B$14/Rides!$B$41*Rides!$B$25/Rides!$B$41*(Fares!$C$14+Fares!$C$25-INDEX(Fares!$C$2:$C$40,MIN(38,MAX(0,ROUNDUP(ROUND(Fares!$B$14+Fares!$B$25-3.2,1)-0.000000001,0)))+1))</f>
        <v/>
      </c>
      <c r="Z16">
        <f>Rides!$B$14/Rides!$B$41*Rides!$B$26/Rides!$B$41*(Fares!$C$14+Fares!$C$26-INDEX(Fares!$C$2:$C$40,MIN(38,MAX(0,ROUNDUP(ROUND(Fares!$B$14+Fares!$B$26-3.2,1)-0.000000001,0)))+1))</f>
        <v/>
      </c>
      <c r="AA16">
        <f>Rides!$B$14/Rides!$B$41*Rides!$B$27/Rides!$B$41*(Fares!$C$14+Fares!$C$27-INDEX(Fares!$C$2:$C$40,MIN(38,MAX(0,ROUNDUP(ROUND(Fares!$B$14+Fares!$B$27-3.2,1)-0.000000001,0)))+1))</f>
        <v/>
      </c>
      <c r="AB16">
        <f>Rides!$B$14/Rides!$B$41*Rides!$B$28/Rides!$B$41*(Fares!$C$14+Fares!$C$28-INDEX(Fares!$C$2:$C$40,MIN(38,MAX(0,ROUNDUP(ROUND(Fares!$B$14+Fares!$B$28-3.2,1)-0.000000001,0)))+1))</f>
        <v/>
      </c>
      <c r="AC16">
        <f>Rides!$B$14/Rides!$B$41*Rides!$B$29/Rides!$B$41*(Fares!$C$14+Fares!$C$29-INDEX(Fares!$C$2:$C$40,MIN(38,MAX(0,ROUNDUP(ROUND(Fares!$B$14+Fares!$B$29-3.2,1)-0.000000001,0)))+1))</f>
        <v/>
      </c>
      <c r="AD16">
        <f>Rides!$B$14/Rides!$B$41*Rides!$B$30/Rides!$B$41*(Fares!$C$14+Fares!$C$30-INDEX(Fares!$C$2:$C$40,MIN(38,MAX(0,ROUNDUP(ROUND(Fares!$B$14+Fares!$B$30-3.2,1)-0.000000001,0)))+1))</f>
        <v/>
      </c>
      <c r="AE16">
        <f>Rides!$B$14/Rides!$B$41*Rides!$B$31/Rides!$B$41*(Fares!$C$14+Fares!$C$31-INDEX(Fares!$C$2:$C$40,MIN(38,MAX(0,ROUNDUP(ROUND(Fares!$B$14+Fares!$B$31-3.2,1)-0.000000001,0)))+1))</f>
        <v/>
      </c>
      <c r="AF16">
        <f>Rides!$B$14/Rides!$B$41*Rides!$B$32/Rides!$B$41*(Fares!$C$14+Fares!$C$32-INDEX(Fares!$C$2:$C$40,MIN(38,MAX(0,ROUNDUP(ROUND(Fares!$B$14+Fares!$B$32-3.2,1)-0.000000001,0)))+1))</f>
        <v/>
      </c>
      <c r="AG16">
        <f>Rides!$B$14/Rides!$B$41*Rides!$B$33/Rides!$B$41*(Fares!$C$14+Fares!$C$33-INDEX(Fares!$C$2:$C$40,MIN(38,MAX(0,ROUNDUP(ROUND(Fares!$B$14+Fares!$B$33-3.2,1)-0.000000001,0)))+1))</f>
        <v/>
      </c>
      <c r="AH16">
        <f>Rides!$B$14/Rides!$B$41*Rides!$B$34/Rides!$B$41*(Fares!$C$14+Fares!$C$34-INDEX(Fares!$C$2:$C$40,MIN(38,MAX(0,ROUNDUP(ROUND(Fares!$B$14+Fares!$B$34-3.2,1)-0.000000001,0)))+1))</f>
        <v/>
      </c>
      <c r="AI16">
        <f>Rides!$B$14/Rides!$B$41*Rides!$B$35/Rides!$B$41*(Fares!$C$14+Fares!$C$35-INDEX(Fares!$C$2:$C$40,MIN(38,MAX(0,ROUNDUP(ROUND(Fares!$B$14+Fares!$B$35-3.2,1)-0.000000001,0)))+1))</f>
        <v/>
      </c>
      <c r="AJ16">
        <f>Rides!$B$14/Rides!$B$41*Rides!$B$36/Rides!$B$41*(Fares!$C$14+Fares!$C$36-INDEX(Fares!$C$2:$C$40,MIN(38,MAX(0,ROUNDUP(ROUND(Fares!$B$14+Fares!$B$36-3.2,1)-0.000000001,0)))+1))</f>
        <v/>
      </c>
      <c r="AK16">
        <f>Rides!$B$14/Rides!$B$41*Rides!$B$37/Rides!$B$41*(Fares!$C$14+Fares!$C$37-INDEX(Fares!$C$2:$C$40,MIN(38,MAX(0,ROUNDUP(ROUND(Fares!$B$14+Fares!$B$37-3.2,1)-0.000000001,0)))+1))</f>
        <v/>
      </c>
      <c r="AL16">
        <f>Rides!$B$14/Rides!$B$41*Rides!$B$38/Rides!$B$41*(Fares!$C$14+Fares!$C$38-INDEX(Fares!$C$2:$C$40,MIN(38,MAX(0,ROUNDUP(ROUND(Fares!$B$14+Fares!$B$38-3.2,1)-0.000000001,0)))+1))</f>
        <v/>
      </c>
      <c r="AM16">
        <f>Rides!$B$14/Rides!$B$41*Rides!$B$39/Rides!$B$41*(Fares!$C$14+Fares!$C$39-INDEX(Fares!$C$2:$C$40,MIN(38,MAX(0,ROUNDUP(ROUND(Fares!$B$14+Fares!$B$39-3.2,1)-0.000000001,0)))+1))</f>
        <v/>
      </c>
      <c r="AN16">
        <f>Rides!$B$14/Rides!$B$41*Rides!$B$40/Rides!$B$41*(Fares!$C$14+Fares!$C$40-INDEX(Fares!$C$2:$C$40,MIN(38,MAX(0,ROUNDUP(ROUND(Fares!$B$14+Fares!$B$40-3.2,1)-0.000000001,0)))+1))</f>
        <v/>
      </c>
    </row>
    <row r="17">
      <c r="A17">
        <f>Fares!$B$15</f>
        <v/>
      </c>
      <c r="B17">
        <f>Rides!$B$15/Rides!$B$41*Rides!$B$2/Rides!$B$41*(Fares!$C$15+Fares!$C$2-INDEX(Fares!$C$2:$C$40,MIN(38,MAX(0,ROUNDUP(ROUND(Fares!$B$15+Fares!$B$2-3.2,1)-0.000000001,0)))+1))</f>
        <v/>
      </c>
      <c r="C17">
        <f>Rides!$B$15/Rides!$B$41*Rides!$B$3/Rides!$B$41*(Fares!$C$15+Fares!$C$3-INDEX(Fares!$C$2:$C$40,MIN(38,MAX(0,ROUNDUP(ROUND(Fares!$B$15+Fares!$B$3-3.2,1)-0.000000001,0)))+1))</f>
        <v/>
      </c>
      <c r="D17">
        <f>Rides!$B$15/Rides!$B$41*Rides!$B$4/Rides!$B$41*(Fares!$C$15+Fares!$C$4-INDEX(Fares!$C$2:$C$40,MIN(38,MAX(0,ROUNDUP(ROUND(Fares!$B$15+Fares!$B$4-3.2,1)-0.000000001,0)))+1))</f>
        <v/>
      </c>
      <c r="E17">
        <f>Rides!$B$15/Rides!$B$41*Rides!$B$5/Rides!$B$41*(Fares!$C$15+Fares!$C$5-INDEX(Fares!$C$2:$C$40,MIN(38,MAX(0,ROUNDUP(ROUND(Fares!$B$15+Fares!$B$5-3.2,1)-0.000000001,0)))+1))</f>
        <v/>
      </c>
      <c r="F17">
        <f>Rides!$B$15/Rides!$B$41*Rides!$B$6/Rides!$B$41*(Fares!$C$15+Fares!$C$6-INDEX(Fares!$C$2:$C$40,MIN(38,MAX(0,ROUNDUP(ROUND(Fares!$B$15+Fares!$B$6-3.2,1)-0.000000001,0)))+1))</f>
        <v/>
      </c>
      <c r="G17">
        <f>Rides!$B$15/Rides!$B$41*Rides!$B$7/Rides!$B$41*(Fares!$C$15+Fares!$C$7-INDEX(Fares!$C$2:$C$40,MIN(38,MAX(0,ROUNDUP(ROUND(Fares!$B$15+Fares!$B$7-3.2,1)-0.000000001,0)))+1))</f>
        <v/>
      </c>
      <c r="H17">
        <f>Rides!$B$15/Rides!$B$41*Rides!$B$8/Rides!$B$41*(Fares!$C$15+Fares!$C$8-INDEX(Fares!$C$2:$C$40,MIN(38,MAX(0,ROUNDUP(ROUND(Fares!$B$15+Fares!$B$8-3.2,1)-0.000000001,0)))+1))</f>
        <v/>
      </c>
      <c r="I17">
        <f>Rides!$B$15/Rides!$B$41*Rides!$B$9/Rides!$B$41*(Fares!$C$15+Fares!$C$9-INDEX(Fares!$C$2:$C$40,MIN(38,MAX(0,ROUNDUP(ROUND(Fares!$B$15+Fares!$B$9-3.2,1)-0.000000001,0)))+1))</f>
        <v/>
      </c>
      <c r="J17">
        <f>Rides!$B$15/Rides!$B$41*Rides!$B$10/Rides!$B$41*(Fares!$C$15+Fares!$C$10-INDEX(Fares!$C$2:$C$40,MIN(38,MAX(0,ROUNDUP(ROUND(Fares!$B$15+Fares!$B$10-3.2,1)-0.000000001,0)))+1))</f>
        <v/>
      </c>
      <c r="K17">
        <f>Rides!$B$15/Rides!$B$41*Rides!$B$11/Rides!$B$41*(Fares!$C$15+Fares!$C$11-INDEX(Fares!$C$2:$C$40,MIN(38,MAX(0,ROUNDUP(ROUND(Fares!$B$15+Fares!$B$11-3.2,1)-0.000000001,0)))+1))</f>
        <v/>
      </c>
      <c r="L17">
        <f>Rides!$B$15/Rides!$B$41*Rides!$B$12/Rides!$B$41*(Fares!$C$15+Fares!$C$12-INDEX(Fares!$C$2:$C$40,MIN(38,MAX(0,ROUNDUP(ROUND(Fares!$B$15+Fares!$B$12-3.2,1)-0.000000001,0)))+1))</f>
        <v/>
      </c>
      <c r="M17">
        <f>Rides!$B$15/Rides!$B$41*Rides!$B$13/Rides!$B$41*(Fares!$C$15+Fares!$C$13-INDEX(Fares!$C$2:$C$40,MIN(38,MAX(0,ROUNDUP(ROUND(Fares!$B$15+Fares!$B$13-3.2,1)-0.000000001,0)))+1))</f>
        <v/>
      </c>
      <c r="N17">
        <f>Rides!$B$15/Rides!$B$41*Rides!$B$14/Rides!$B$41*(Fares!$C$15+Fares!$C$14-INDEX(Fares!$C$2:$C$40,MIN(38,MAX(0,ROUNDUP(ROUND(Fares!$B$15+Fares!$B$14-3.2,1)-0.000000001,0)))+1))</f>
        <v/>
      </c>
      <c r="O17">
        <f>Rides!$B$15/Rides!$B$41*Rides!$B$15/Rides!$B$41*(Fares!$C$15+Fares!$C$15-INDEX(Fares!$C$2:$C$40,MIN(38,MAX(0,ROUNDUP(ROUND(Fares!$B$15+Fares!$B$15-3.2,1)-0.000000001,0)))+1))</f>
        <v/>
      </c>
      <c r="P17">
        <f>Rides!$B$15/Rides!$B$41*Rides!$B$16/Rides!$B$41*(Fares!$C$15+Fares!$C$16-INDEX(Fares!$C$2:$C$40,MIN(38,MAX(0,ROUNDUP(ROUND(Fares!$B$15+Fares!$B$16-3.2,1)-0.000000001,0)))+1))</f>
        <v/>
      </c>
      <c r="Q17">
        <f>Rides!$B$15/Rides!$B$41*Rides!$B$17/Rides!$B$41*(Fares!$C$15+Fares!$C$17-INDEX(Fares!$C$2:$C$40,MIN(38,MAX(0,ROUNDUP(ROUND(Fares!$B$15+Fares!$B$17-3.2,1)-0.000000001,0)))+1))</f>
        <v/>
      </c>
      <c r="R17">
        <f>Rides!$B$15/Rides!$B$41*Rides!$B$18/Rides!$B$41*(Fares!$C$15+Fares!$C$18-INDEX(Fares!$C$2:$C$40,MIN(38,MAX(0,ROUNDUP(ROUND(Fares!$B$15+Fares!$B$18-3.2,1)-0.000000001,0)))+1))</f>
        <v/>
      </c>
      <c r="S17">
        <f>Rides!$B$15/Rides!$B$41*Rides!$B$19/Rides!$B$41*(Fares!$C$15+Fares!$C$19-INDEX(Fares!$C$2:$C$40,MIN(38,MAX(0,ROUNDUP(ROUND(Fares!$B$15+Fares!$B$19-3.2,1)-0.000000001,0)))+1))</f>
        <v/>
      </c>
      <c r="T17">
        <f>Rides!$B$15/Rides!$B$41*Rides!$B$20/Rides!$B$41*(Fares!$C$15+Fares!$C$20-INDEX(Fares!$C$2:$C$40,MIN(38,MAX(0,ROUNDUP(ROUND(Fares!$B$15+Fares!$B$20-3.2,1)-0.000000001,0)))+1))</f>
        <v/>
      </c>
      <c r="U17">
        <f>Rides!$B$15/Rides!$B$41*Rides!$B$21/Rides!$B$41*(Fares!$C$15+Fares!$C$21-INDEX(Fares!$C$2:$C$40,MIN(38,MAX(0,ROUNDUP(ROUND(Fares!$B$15+Fares!$B$21-3.2,1)-0.000000001,0)))+1))</f>
        <v/>
      </c>
      <c r="V17">
        <f>Rides!$B$15/Rides!$B$41*Rides!$B$22/Rides!$B$41*(Fares!$C$15+Fares!$C$22-INDEX(Fares!$C$2:$C$40,MIN(38,MAX(0,ROUNDUP(ROUND(Fares!$B$15+Fares!$B$22-3.2,1)-0.000000001,0)))+1))</f>
        <v/>
      </c>
      <c r="W17">
        <f>Rides!$B$15/Rides!$B$41*Rides!$B$23/Rides!$B$41*(Fares!$C$15+Fares!$C$23-INDEX(Fares!$C$2:$C$40,MIN(38,MAX(0,ROUNDUP(ROUND(Fares!$B$15+Fares!$B$23-3.2,1)-0.000000001,0)))+1))</f>
        <v/>
      </c>
      <c r="X17">
        <f>Rides!$B$15/Rides!$B$41*Rides!$B$24/Rides!$B$41*(Fares!$C$15+Fares!$C$24-INDEX(Fares!$C$2:$C$40,MIN(38,MAX(0,ROUNDUP(ROUND(Fares!$B$15+Fares!$B$24-3.2,1)-0.000000001,0)))+1))</f>
        <v/>
      </c>
      <c r="Y17">
        <f>Rides!$B$15/Rides!$B$41*Rides!$B$25/Rides!$B$41*(Fares!$C$15+Fares!$C$25-INDEX(Fares!$C$2:$C$40,MIN(38,MAX(0,ROUNDUP(ROUND(Fares!$B$15+Fares!$B$25-3.2,1)-0.000000001,0)))+1))</f>
        <v/>
      </c>
      <c r="Z17">
        <f>Rides!$B$15/Rides!$B$41*Rides!$B$26/Rides!$B$41*(Fares!$C$15+Fares!$C$26-INDEX(Fares!$C$2:$C$40,MIN(38,MAX(0,ROUNDUP(ROUND(Fares!$B$15+Fares!$B$26-3.2,1)-0.000000001,0)))+1))</f>
        <v/>
      </c>
      <c r="AA17">
        <f>Rides!$B$15/Rides!$B$41*Rides!$B$27/Rides!$B$41*(Fares!$C$15+Fares!$C$27-INDEX(Fares!$C$2:$C$40,MIN(38,MAX(0,ROUNDUP(ROUND(Fares!$B$15+Fares!$B$27-3.2,1)-0.000000001,0)))+1))</f>
        <v/>
      </c>
      <c r="AB17">
        <f>Rides!$B$15/Rides!$B$41*Rides!$B$28/Rides!$B$41*(Fares!$C$15+Fares!$C$28-INDEX(Fares!$C$2:$C$40,MIN(38,MAX(0,ROUNDUP(ROUND(Fares!$B$15+Fares!$B$28-3.2,1)-0.000000001,0)))+1))</f>
        <v/>
      </c>
      <c r="AC17">
        <f>Rides!$B$15/Rides!$B$41*Rides!$B$29/Rides!$B$41*(Fares!$C$15+Fares!$C$29-INDEX(Fares!$C$2:$C$40,MIN(38,MAX(0,ROUNDUP(ROUND(Fares!$B$15+Fares!$B$29-3.2,1)-0.000000001,0)))+1))</f>
        <v/>
      </c>
      <c r="AD17">
        <f>Rides!$B$15/Rides!$B$41*Rides!$B$30/Rides!$B$41*(Fares!$C$15+Fares!$C$30-INDEX(Fares!$C$2:$C$40,MIN(38,MAX(0,ROUNDUP(ROUND(Fares!$B$15+Fares!$B$30-3.2,1)-0.000000001,0)))+1))</f>
        <v/>
      </c>
      <c r="AE17">
        <f>Rides!$B$15/Rides!$B$41*Rides!$B$31/Rides!$B$41*(Fares!$C$15+Fares!$C$31-INDEX(Fares!$C$2:$C$40,MIN(38,MAX(0,ROUNDUP(ROUND(Fares!$B$15+Fares!$B$31-3.2,1)-0.000000001,0)))+1))</f>
        <v/>
      </c>
      <c r="AF17">
        <f>Rides!$B$15/Rides!$B$41*Rides!$B$32/Rides!$B$41*(Fares!$C$15+Fares!$C$32-INDEX(Fares!$C$2:$C$40,MIN(38,MAX(0,ROUNDUP(ROUND(Fares!$B$15+Fares!$B$32-3.2,1)-0.000000001,0)))+1))</f>
        <v/>
      </c>
      <c r="AG17">
        <f>Rides!$B$15/Rides!$B$41*Rides!$B$33/Rides!$B$41*(Fares!$C$15+Fares!$C$33-INDEX(Fares!$C$2:$C$40,MIN(38,MAX(0,ROUNDUP(ROUND(Fares!$B$15+Fares!$B$33-3.2,1)-0.000000001,0)))+1))</f>
        <v/>
      </c>
      <c r="AH17">
        <f>Rides!$B$15/Rides!$B$41*Rides!$B$34/Rides!$B$41*(Fares!$C$15+Fares!$C$34-INDEX(Fares!$C$2:$C$40,MIN(38,MAX(0,ROUNDUP(ROUND(Fares!$B$15+Fares!$B$34-3.2,1)-0.000000001,0)))+1))</f>
        <v/>
      </c>
      <c r="AI17">
        <f>Rides!$B$15/Rides!$B$41*Rides!$B$35/Rides!$B$41*(Fares!$C$15+Fares!$C$35-INDEX(Fares!$C$2:$C$40,MIN(38,MAX(0,ROUNDUP(ROUND(Fares!$B$15+Fares!$B$35-3.2,1)-0.000000001,0)))+1))</f>
        <v/>
      </c>
      <c r="AJ17">
        <f>Rides!$B$15/Rides!$B$41*Rides!$B$36/Rides!$B$41*(Fares!$C$15+Fares!$C$36-INDEX(Fares!$C$2:$C$40,MIN(38,MAX(0,ROUNDUP(ROUND(Fares!$B$15+Fares!$B$36-3.2,1)-0.000000001,0)))+1))</f>
        <v/>
      </c>
      <c r="AK17">
        <f>Rides!$B$15/Rides!$B$41*Rides!$B$37/Rides!$B$41*(Fares!$C$15+Fares!$C$37-INDEX(Fares!$C$2:$C$40,MIN(38,MAX(0,ROUNDUP(ROUND(Fares!$B$15+Fares!$B$37-3.2,1)-0.000000001,0)))+1))</f>
        <v/>
      </c>
      <c r="AL17">
        <f>Rides!$B$15/Rides!$B$41*Rides!$B$38/Rides!$B$41*(Fares!$C$15+Fares!$C$38-INDEX(Fares!$C$2:$C$40,MIN(38,MAX(0,ROUNDUP(ROUND(Fares!$B$15+Fares!$B$38-3.2,1)-0.000000001,0)))+1))</f>
        <v/>
      </c>
      <c r="AM17">
        <f>Rides!$B$15/Rides!$B$41*Rides!$B$39/Rides!$B$41*(Fares!$C$15+Fares!$C$39-INDEX(Fares!$C$2:$C$40,MIN(38,MAX(0,ROUNDUP(ROUND(Fares!$B$15+Fares!$B$39-3.2,1)-0.000000001,0)))+1))</f>
        <v/>
      </c>
      <c r="AN17">
        <f>Rides!$B$15/Rides!$B$41*Rides!$B$40/Rides!$B$41*(Fares!$C$15+Fares!$C$40-INDEX(Fares!$C$2:$C$40,MIN(38,MAX(0,ROUNDUP(ROUND(Fares!$B$15+Fares!$B$40-3.2,1)-0.000000001,0)))+1))</f>
        <v/>
      </c>
    </row>
    <row r="18">
      <c r="A18">
        <f>Fares!$B$16</f>
        <v/>
      </c>
      <c r="B18">
        <f>Rides!$B$16/Rides!$B$41*Rides!$B$2/Rides!$B$41*(Fares!$C$16+Fares!$C$2-INDEX(Fares!$C$2:$C$40,MIN(38,MAX(0,ROUNDUP(ROUND(Fares!$B$16+Fares!$B$2-3.2,1)-0.000000001,0)))+1))</f>
        <v/>
      </c>
      <c r="C18">
        <f>Rides!$B$16/Rides!$B$41*Rides!$B$3/Rides!$B$41*(Fares!$C$16+Fares!$C$3-INDEX(Fares!$C$2:$C$40,MIN(38,MAX(0,ROUNDUP(ROUND(Fares!$B$16+Fares!$B$3-3.2,1)-0.000000001,0)))+1))</f>
        <v/>
      </c>
      <c r="D18">
        <f>Rides!$B$16/Rides!$B$41*Rides!$B$4/Rides!$B$41*(Fares!$C$16+Fares!$C$4-INDEX(Fares!$C$2:$C$40,MIN(38,MAX(0,ROUNDUP(ROUND(Fares!$B$16+Fares!$B$4-3.2,1)-0.000000001,0)))+1))</f>
        <v/>
      </c>
      <c r="E18">
        <f>Rides!$B$16/Rides!$B$41*Rides!$B$5/Rides!$B$41*(Fares!$C$16+Fares!$C$5-INDEX(Fares!$C$2:$C$40,MIN(38,MAX(0,ROUNDUP(ROUND(Fares!$B$16+Fares!$B$5-3.2,1)-0.000000001,0)))+1))</f>
        <v/>
      </c>
      <c r="F18">
        <f>Rides!$B$16/Rides!$B$41*Rides!$B$6/Rides!$B$41*(Fares!$C$16+Fares!$C$6-INDEX(Fares!$C$2:$C$40,MIN(38,MAX(0,ROUNDUP(ROUND(Fares!$B$16+Fares!$B$6-3.2,1)-0.000000001,0)))+1))</f>
        <v/>
      </c>
      <c r="G18">
        <f>Rides!$B$16/Rides!$B$41*Rides!$B$7/Rides!$B$41*(Fares!$C$16+Fares!$C$7-INDEX(Fares!$C$2:$C$40,MIN(38,MAX(0,ROUNDUP(ROUND(Fares!$B$16+Fares!$B$7-3.2,1)-0.000000001,0)))+1))</f>
        <v/>
      </c>
      <c r="H18">
        <f>Rides!$B$16/Rides!$B$41*Rides!$B$8/Rides!$B$41*(Fares!$C$16+Fares!$C$8-INDEX(Fares!$C$2:$C$40,MIN(38,MAX(0,ROUNDUP(ROUND(Fares!$B$16+Fares!$B$8-3.2,1)-0.000000001,0)))+1))</f>
        <v/>
      </c>
      <c r="I18">
        <f>Rides!$B$16/Rides!$B$41*Rides!$B$9/Rides!$B$41*(Fares!$C$16+Fares!$C$9-INDEX(Fares!$C$2:$C$40,MIN(38,MAX(0,ROUNDUP(ROUND(Fares!$B$16+Fares!$B$9-3.2,1)-0.000000001,0)))+1))</f>
        <v/>
      </c>
      <c r="J18">
        <f>Rides!$B$16/Rides!$B$41*Rides!$B$10/Rides!$B$41*(Fares!$C$16+Fares!$C$10-INDEX(Fares!$C$2:$C$40,MIN(38,MAX(0,ROUNDUP(ROUND(Fares!$B$16+Fares!$B$10-3.2,1)-0.000000001,0)))+1))</f>
        <v/>
      </c>
      <c r="K18">
        <f>Rides!$B$16/Rides!$B$41*Rides!$B$11/Rides!$B$41*(Fares!$C$16+Fares!$C$11-INDEX(Fares!$C$2:$C$40,MIN(38,MAX(0,ROUNDUP(ROUND(Fares!$B$16+Fares!$B$11-3.2,1)-0.000000001,0)))+1))</f>
        <v/>
      </c>
      <c r="L18">
        <f>Rides!$B$16/Rides!$B$41*Rides!$B$12/Rides!$B$41*(Fares!$C$16+Fares!$C$12-INDEX(Fares!$C$2:$C$40,MIN(38,MAX(0,ROUNDUP(ROUND(Fares!$B$16+Fares!$B$12-3.2,1)-0.000000001,0)))+1))</f>
        <v/>
      </c>
      <c r="M18">
        <f>Rides!$B$16/Rides!$B$41*Rides!$B$13/Rides!$B$41*(Fares!$C$16+Fares!$C$13-INDEX(Fares!$C$2:$C$40,MIN(38,MAX(0,ROUNDUP(ROUND(Fares!$B$16+Fares!$B$13-3.2,1)-0.000000001,0)))+1))</f>
        <v/>
      </c>
      <c r="N18">
        <f>Rides!$B$16/Rides!$B$41*Rides!$B$14/Rides!$B$41*(Fares!$C$16+Fares!$C$14-INDEX(Fares!$C$2:$C$40,MIN(38,MAX(0,ROUNDUP(ROUND(Fares!$B$16+Fares!$B$14-3.2,1)-0.000000001,0)))+1))</f>
        <v/>
      </c>
      <c r="O18">
        <f>Rides!$B$16/Rides!$B$41*Rides!$B$15/Rides!$B$41*(Fares!$C$16+Fares!$C$15-INDEX(Fares!$C$2:$C$40,MIN(38,MAX(0,ROUNDUP(ROUND(Fares!$B$16+Fares!$B$15-3.2,1)-0.000000001,0)))+1))</f>
        <v/>
      </c>
      <c r="P18">
        <f>Rides!$B$16/Rides!$B$41*Rides!$B$16/Rides!$B$41*(Fares!$C$16+Fares!$C$16-INDEX(Fares!$C$2:$C$40,MIN(38,MAX(0,ROUNDUP(ROUND(Fares!$B$16+Fares!$B$16-3.2,1)-0.000000001,0)))+1))</f>
        <v/>
      </c>
      <c r="Q18">
        <f>Rides!$B$16/Rides!$B$41*Rides!$B$17/Rides!$B$41*(Fares!$C$16+Fares!$C$17-INDEX(Fares!$C$2:$C$40,MIN(38,MAX(0,ROUNDUP(ROUND(Fares!$B$16+Fares!$B$17-3.2,1)-0.000000001,0)))+1))</f>
        <v/>
      </c>
      <c r="R18">
        <f>Rides!$B$16/Rides!$B$41*Rides!$B$18/Rides!$B$41*(Fares!$C$16+Fares!$C$18-INDEX(Fares!$C$2:$C$40,MIN(38,MAX(0,ROUNDUP(ROUND(Fares!$B$16+Fares!$B$18-3.2,1)-0.000000001,0)))+1))</f>
        <v/>
      </c>
      <c r="S18">
        <f>Rides!$B$16/Rides!$B$41*Rides!$B$19/Rides!$B$41*(Fares!$C$16+Fares!$C$19-INDEX(Fares!$C$2:$C$40,MIN(38,MAX(0,ROUNDUP(ROUND(Fares!$B$16+Fares!$B$19-3.2,1)-0.000000001,0)))+1))</f>
        <v/>
      </c>
      <c r="T18">
        <f>Rides!$B$16/Rides!$B$41*Rides!$B$20/Rides!$B$41*(Fares!$C$16+Fares!$C$20-INDEX(Fares!$C$2:$C$40,MIN(38,MAX(0,ROUNDUP(ROUND(Fares!$B$16+Fares!$B$20-3.2,1)-0.000000001,0)))+1))</f>
        <v/>
      </c>
      <c r="U18">
        <f>Rides!$B$16/Rides!$B$41*Rides!$B$21/Rides!$B$41*(Fares!$C$16+Fares!$C$21-INDEX(Fares!$C$2:$C$40,MIN(38,MAX(0,ROUNDUP(ROUND(Fares!$B$16+Fares!$B$21-3.2,1)-0.000000001,0)))+1))</f>
        <v/>
      </c>
      <c r="V18">
        <f>Rides!$B$16/Rides!$B$41*Rides!$B$22/Rides!$B$41*(Fares!$C$16+Fares!$C$22-INDEX(Fares!$C$2:$C$40,MIN(38,MAX(0,ROUNDUP(ROUND(Fares!$B$16+Fares!$B$22-3.2,1)-0.000000001,0)))+1))</f>
        <v/>
      </c>
      <c r="W18">
        <f>Rides!$B$16/Rides!$B$41*Rides!$B$23/Rides!$B$41*(Fares!$C$16+Fares!$C$23-INDEX(Fares!$C$2:$C$40,MIN(38,MAX(0,ROUNDUP(ROUND(Fares!$B$16+Fares!$B$23-3.2,1)-0.000000001,0)))+1))</f>
        <v/>
      </c>
      <c r="X18">
        <f>Rides!$B$16/Rides!$B$41*Rides!$B$24/Rides!$B$41*(Fares!$C$16+Fares!$C$24-INDEX(Fares!$C$2:$C$40,MIN(38,MAX(0,ROUNDUP(ROUND(Fares!$B$16+Fares!$B$24-3.2,1)-0.000000001,0)))+1))</f>
        <v/>
      </c>
      <c r="Y18">
        <f>Rides!$B$16/Rides!$B$41*Rides!$B$25/Rides!$B$41*(Fares!$C$16+Fares!$C$25-INDEX(Fares!$C$2:$C$40,MIN(38,MAX(0,ROUNDUP(ROUND(Fares!$B$16+Fares!$B$25-3.2,1)-0.000000001,0)))+1))</f>
        <v/>
      </c>
      <c r="Z18">
        <f>Rides!$B$16/Rides!$B$41*Rides!$B$26/Rides!$B$41*(Fares!$C$16+Fares!$C$26-INDEX(Fares!$C$2:$C$40,MIN(38,MAX(0,ROUNDUP(ROUND(Fares!$B$16+Fares!$B$26-3.2,1)-0.000000001,0)))+1))</f>
        <v/>
      </c>
      <c r="AA18">
        <f>Rides!$B$16/Rides!$B$41*Rides!$B$27/Rides!$B$41*(Fares!$C$16+Fares!$C$27-INDEX(Fares!$C$2:$C$40,MIN(38,MAX(0,ROUNDUP(ROUND(Fares!$B$16+Fares!$B$27-3.2,1)-0.000000001,0)))+1))</f>
        <v/>
      </c>
      <c r="AB18">
        <f>Rides!$B$16/Rides!$B$41*Rides!$B$28/Rides!$B$41*(Fares!$C$16+Fares!$C$28-INDEX(Fares!$C$2:$C$40,MIN(38,MAX(0,ROUNDUP(ROUND(Fares!$B$16+Fares!$B$28-3.2,1)-0.000000001,0)))+1))</f>
        <v/>
      </c>
      <c r="AC18">
        <f>Rides!$B$16/Rides!$B$41*Rides!$B$29/Rides!$B$41*(Fares!$C$16+Fares!$C$29-INDEX(Fares!$C$2:$C$40,MIN(38,MAX(0,ROUNDUP(ROUND(Fares!$B$16+Fares!$B$29-3.2,1)-0.000000001,0)))+1))</f>
        <v/>
      </c>
      <c r="AD18">
        <f>Rides!$B$16/Rides!$B$41*Rides!$B$30/Rides!$B$41*(Fares!$C$16+Fares!$C$30-INDEX(Fares!$C$2:$C$40,MIN(38,MAX(0,ROUNDUP(ROUND(Fares!$B$16+Fares!$B$30-3.2,1)-0.000000001,0)))+1))</f>
        <v/>
      </c>
      <c r="AE18">
        <f>Rides!$B$16/Rides!$B$41*Rides!$B$31/Rides!$B$41*(Fares!$C$16+Fares!$C$31-INDEX(Fares!$C$2:$C$40,MIN(38,MAX(0,ROUNDUP(ROUND(Fares!$B$16+Fares!$B$31-3.2,1)-0.000000001,0)))+1))</f>
        <v/>
      </c>
      <c r="AF18">
        <f>Rides!$B$16/Rides!$B$41*Rides!$B$32/Rides!$B$41*(Fares!$C$16+Fares!$C$32-INDEX(Fares!$C$2:$C$40,MIN(38,MAX(0,ROUNDUP(ROUND(Fares!$B$16+Fares!$B$32-3.2,1)-0.000000001,0)))+1))</f>
        <v/>
      </c>
      <c r="AG18">
        <f>Rides!$B$16/Rides!$B$41*Rides!$B$33/Rides!$B$41*(Fares!$C$16+Fares!$C$33-INDEX(Fares!$C$2:$C$40,MIN(38,MAX(0,ROUNDUP(ROUND(Fares!$B$16+Fares!$B$33-3.2,1)-0.000000001,0)))+1))</f>
        <v/>
      </c>
      <c r="AH18">
        <f>Rides!$B$16/Rides!$B$41*Rides!$B$34/Rides!$B$41*(Fares!$C$16+Fares!$C$34-INDEX(Fares!$C$2:$C$40,MIN(38,MAX(0,ROUNDUP(ROUND(Fares!$B$16+Fares!$B$34-3.2,1)-0.000000001,0)))+1))</f>
        <v/>
      </c>
      <c r="AI18">
        <f>Rides!$B$16/Rides!$B$41*Rides!$B$35/Rides!$B$41*(Fares!$C$16+Fares!$C$35-INDEX(Fares!$C$2:$C$40,MIN(38,MAX(0,ROUNDUP(ROUND(Fares!$B$16+Fares!$B$35-3.2,1)-0.000000001,0)))+1))</f>
        <v/>
      </c>
      <c r="AJ18">
        <f>Rides!$B$16/Rides!$B$41*Rides!$B$36/Rides!$B$41*(Fares!$C$16+Fares!$C$36-INDEX(Fares!$C$2:$C$40,MIN(38,MAX(0,ROUNDUP(ROUND(Fares!$B$16+Fares!$B$36-3.2,1)-0.000000001,0)))+1))</f>
        <v/>
      </c>
      <c r="AK18">
        <f>Rides!$B$16/Rides!$B$41*Rides!$B$37/Rides!$B$41*(Fares!$C$16+Fares!$C$37-INDEX(Fares!$C$2:$C$40,MIN(38,MAX(0,ROUNDUP(ROUND(Fares!$B$16+Fares!$B$37-3.2,1)-0.000000001,0)))+1))</f>
        <v/>
      </c>
      <c r="AL18">
        <f>Rides!$B$16/Rides!$B$41*Rides!$B$38/Rides!$B$41*(Fares!$C$16+Fares!$C$38-INDEX(Fares!$C$2:$C$40,MIN(38,MAX(0,ROUNDUP(ROUND(Fares!$B$16+Fares!$B$38-3.2,1)-0.000000001,0)))+1))</f>
        <v/>
      </c>
      <c r="AM18">
        <f>Rides!$B$16/Rides!$B$41*Rides!$B$39/Rides!$B$41*(Fares!$C$16+Fares!$C$39-INDEX(Fares!$C$2:$C$40,MIN(38,MAX(0,ROUNDUP(ROUND(Fares!$B$16+Fares!$B$39-3.2,1)-0.000000001,0)))+1))</f>
        <v/>
      </c>
      <c r="AN18">
        <f>Rides!$B$16/Rides!$B$41*Rides!$B$40/Rides!$B$41*(Fares!$C$16+Fares!$C$40-INDEX(Fares!$C$2:$C$40,MIN(38,MAX(0,ROUNDUP(ROUND(Fares!$B$16+Fares!$B$40-3.2,1)-0.000000001,0)))+1))</f>
        <v/>
      </c>
    </row>
    <row r="19">
      <c r="A19">
        <f>Fares!$B$17</f>
        <v/>
      </c>
      <c r="B19">
        <f>Rides!$B$17/Rides!$B$41*Rides!$B$2/Rides!$B$41*(Fares!$C$17+Fares!$C$2-INDEX(Fares!$C$2:$C$40,MIN(38,MAX(0,ROUNDUP(ROUND(Fares!$B$17+Fares!$B$2-3.2,1)-0.000000001,0)))+1))</f>
        <v/>
      </c>
      <c r="C19">
        <f>Rides!$B$17/Rides!$B$41*Rides!$B$3/Rides!$B$41*(Fares!$C$17+Fares!$C$3-INDEX(Fares!$C$2:$C$40,MIN(38,MAX(0,ROUNDUP(ROUND(Fares!$B$17+Fares!$B$3-3.2,1)-0.000000001,0)))+1))</f>
        <v/>
      </c>
      <c r="D19">
        <f>Rides!$B$17/Rides!$B$41*Rides!$B$4/Rides!$B$41*(Fares!$C$17+Fares!$C$4-INDEX(Fares!$C$2:$C$40,MIN(38,MAX(0,ROUNDUP(ROUND(Fares!$B$17+Fares!$B$4-3.2,1)-0.000000001,0)))+1))</f>
        <v/>
      </c>
      <c r="E19">
        <f>Rides!$B$17/Rides!$B$41*Rides!$B$5/Rides!$B$41*(Fares!$C$17+Fares!$C$5-INDEX(Fares!$C$2:$C$40,MIN(38,MAX(0,ROUNDUP(ROUND(Fares!$B$17+Fares!$B$5-3.2,1)-0.000000001,0)))+1))</f>
        <v/>
      </c>
      <c r="F19">
        <f>Rides!$B$17/Rides!$B$41*Rides!$B$6/Rides!$B$41*(Fares!$C$17+Fares!$C$6-INDEX(Fares!$C$2:$C$40,MIN(38,MAX(0,ROUNDUP(ROUND(Fares!$B$17+Fares!$B$6-3.2,1)-0.000000001,0)))+1))</f>
        <v/>
      </c>
      <c r="G19">
        <f>Rides!$B$17/Rides!$B$41*Rides!$B$7/Rides!$B$41*(Fares!$C$17+Fares!$C$7-INDEX(Fares!$C$2:$C$40,MIN(38,MAX(0,ROUNDUP(ROUND(Fares!$B$17+Fares!$B$7-3.2,1)-0.000000001,0)))+1))</f>
        <v/>
      </c>
      <c r="H19">
        <f>Rides!$B$17/Rides!$B$41*Rides!$B$8/Rides!$B$41*(Fares!$C$17+Fares!$C$8-INDEX(Fares!$C$2:$C$40,MIN(38,MAX(0,ROUNDUP(ROUND(Fares!$B$17+Fares!$B$8-3.2,1)-0.000000001,0)))+1))</f>
        <v/>
      </c>
      <c r="I19">
        <f>Rides!$B$17/Rides!$B$41*Rides!$B$9/Rides!$B$41*(Fares!$C$17+Fares!$C$9-INDEX(Fares!$C$2:$C$40,MIN(38,MAX(0,ROUNDUP(ROUND(Fares!$B$17+Fares!$B$9-3.2,1)-0.000000001,0)))+1))</f>
        <v/>
      </c>
      <c r="J19">
        <f>Rides!$B$17/Rides!$B$41*Rides!$B$10/Rides!$B$41*(Fares!$C$17+Fares!$C$10-INDEX(Fares!$C$2:$C$40,MIN(38,MAX(0,ROUNDUP(ROUND(Fares!$B$17+Fares!$B$10-3.2,1)-0.000000001,0)))+1))</f>
        <v/>
      </c>
      <c r="K19">
        <f>Rides!$B$17/Rides!$B$41*Rides!$B$11/Rides!$B$41*(Fares!$C$17+Fares!$C$11-INDEX(Fares!$C$2:$C$40,MIN(38,MAX(0,ROUNDUP(ROUND(Fares!$B$17+Fares!$B$11-3.2,1)-0.000000001,0)))+1))</f>
        <v/>
      </c>
      <c r="L19">
        <f>Rides!$B$17/Rides!$B$41*Rides!$B$12/Rides!$B$41*(Fares!$C$17+Fares!$C$12-INDEX(Fares!$C$2:$C$40,MIN(38,MAX(0,ROUNDUP(ROUND(Fares!$B$17+Fares!$B$12-3.2,1)-0.000000001,0)))+1))</f>
        <v/>
      </c>
      <c r="M19">
        <f>Rides!$B$17/Rides!$B$41*Rides!$B$13/Rides!$B$41*(Fares!$C$17+Fares!$C$13-INDEX(Fares!$C$2:$C$40,MIN(38,MAX(0,ROUNDUP(ROUND(Fares!$B$17+Fares!$B$13-3.2,1)-0.000000001,0)))+1))</f>
        <v/>
      </c>
      <c r="N19">
        <f>Rides!$B$17/Rides!$B$41*Rides!$B$14/Rides!$B$41*(Fares!$C$17+Fares!$C$14-INDEX(Fares!$C$2:$C$40,MIN(38,MAX(0,ROUNDUP(ROUND(Fares!$B$17+Fares!$B$14-3.2,1)-0.000000001,0)))+1))</f>
        <v/>
      </c>
      <c r="O19">
        <f>Rides!$B$17/Rides!$B$41*Rides!$B$15/Rides!$B$41*(Fares!$C$17+Fares!$C$15-INDEX(Fares!$C$2:$C$40,MIN(38,MAX(0,ROUNDUP(ROUND(Fares!$B$17+Fares!$B$15-3.2,1)-0.000000001,0)))+1))</f>
        <v/>
      </c>
      <c r="P19">
        <f>Rides!$B$17/Rides!$B$41*Rides!$B$16/Rides!$B$41*(Fares!$C$17+Fares!$C$16-INDEX(Fares!$C$2:$C$40,MIN(38,MAX(0,ROUNDUP(ROUND(Fares!$B$17+Fares!$B$16-3.2,1)-0.000000001,0)))+1))</f>
        <v/>
      </c>
      <c r="Q19">
        <f>Rides!$B$17/Rides!$B$41*Rides!$B$17/Rides!$B$41*(Fares!$C$17+Fares!$C$17-INDEX(Fares!$C$2:$C$40,MIN(38,MAX(0,ROUNDUP(ROUND(Fares!$B$17+Fares!$B$17-3.2,1)-0.000000001,0)))+1))</f>
        <v/>
      </c>
      <c r="R19">
        <f>Rides!$B$17/Rides!$B$41*Rides!$B$18/Rides!$B$41*(Fares!$C$17+Fares!$C$18-INDEX(Fares!$C$2:$C$40,MIN(38,MAX(0,ROUNDUP(ROUND(Fares!$B$17+Fares!$B$18-3.2,1)-0.000000001,0)))+1))</f>
        <v/>
      </c>
      <c r="S19">
        <f>Rides!$B$17/Rides!$B$41*Rides!$B$19/Rides!$B$41*(Fares!$C$17+Fares!$C$19-INDEX(Fares!$C$2:$C$40,MIN(38,MAX(0,ROUNDUP(ROUND(Fares!$B$17+Fares!$B$19-3.2,1)-0.000000001,0)))+1))</f>
        <v/>
      </c>
      <c r="T19">
        <f>Rides!$B$17/Rides!$B$41*Rides!$B$20/Rides!$B$41*(Fares!$C$17+Fares!$C$20-INDEX(Fares!$C$2:$C$40,MIN(38,MAX(0,ROUNDUP(ROUND(Fares!$B$17+Fares!$B$20-3.2,1)-0.000000001,0)))+1))</f>
        <v/>
      </c>
      <c r="U19">
        <f>Rides!$B$17/Rides!$B$41*Rides!$B$21/Rides!$B$41*(Fares!$C$17+Fares!$C$21-INDEX(Fares!$C$2:$C$40,MIN(38,MAX(0,ROUNDUP(ROUND(Fares!$B$17+Fares!$B$21-3.2,1)-0.000000001,0)))+1))</f>
        <v/>
      </c>
      <c r="V19">
        <f>Rides!$B$17/Rides!$B$41*Rides!$B$22/Rides!$B$41*(Fares!$C$17+Fares!$C$22-INDEX(Fares!$C$2:$C$40,MIN(38,MAX(0,ROUNDUP(ROUND(Fares!$B$17+Fares!$B$22-3.2,1)-0.000000001,0)))+1))</f>
        <v/>
      </c>
      <c r="W19">
        <f>Rides!$B$17/Rides!$B$41*Rides!$B$23/Rides!$B$41*(Fares!$C$17+Fares!$C$23-INDEX(Fares!$C$2:$C$40,MIN(38,MAX(0,ROUNDUP(ROUND(Fares!$B$17+Fares!$B$23-3.2,1)-0.000000001,0)))+1))</f>
        <v/>
      </c>
      <c r="X19">
        <f>Rides!$B$17/Rides!$B$41*Rides!$B$24/Rides!$B$41*(Fares!$C$17+Fares!$C$24-INDEX(Fares!$C$2:$C$40,MIN(38,MAX(0,ROUNDUP(ROUND(Fares!$B$17+Fares!$B$24-3.2,1)-0.000000001,0)))+1))</f>
        <v/>
      </c>
      <c r="Y19">
        <f>Rides!$B$17/Rides!$B$41*Rides!$B$25/Rides!$B$41*(Fares!$C$17+Fares!$C$25-INDEX(Fares!$C$2:$C$40,MIN(38,MAX(0,ROUNDUP(ROUND(Fares!$B$17+Fares!$B$25-3.2,1)-0.000000001,0)))+1))</f>
        <v/>
      </c>
      <c r="Z19">
        <f>Rides!$B$17/Rides!$B$41*Rides!$B$26/Rides!$B$41*(Fares!$C$17+Fares!$C$26-INDEX(Fares!$C$2:$C$40,MIN(38,MAX(0,ROUNDUP(ROUND(Fares!$B$17+Fares!$B$26-3.2,1)-0.000000001,0)))+1))</f>
        <v/>
      </c>
      <c r="AA19">
        <f>Rides!$B$17/Rides!$B$41*Rides!$B$27/Rides!$B$41*(Fares!$C$17+Fares!$C$27-INDEX(Fares!$C$2:$C$40,MIN(38,MAX(0,ROUNDUP(ROUND(Fares!$B$17+Fares!$B$27-3.2,1)-0.000000001,0)))+1))</f>
        <v/>
      </c>
      <c r="AB19">
        <f>Rides!$B$17/Rides!$B$41*Rides!$B$28/Rides!$B$41*(Fares!$C$17+Fares!$C$28-INDEX(Fares!$C$2:$C$40,MIN(38,MAX(0,ROUNDUP(ROUND(Fares!$B$17+Fares!$B$28-3.2,1)-0.000000001,0)))+1))</f>
        <v/>
      </c>
      <c r="AC19">
        <f>Rides!$B$17/Rides!$B$41*Rides!$B$29/Rides!$B$41*(Fares!$C$17+Fares!$C$29-INDEX(Fares!$C$2:$C$40,MIN(38,MAX(0,ROUNDUP(ROUND(Fares!$B$17+Fares!$B$29-3.2,1)-0.000000001,0)))+1))</f>
        <v/>
      </c>
      <c r="AD19">
        <f>Rides!$B$17/Rides!$B$41*Rides!$B$30/Rides!$B$41*(Fares!$C$17+Fares!$C$30-INDEX(Fares!$C$2:$C$40,MIN(38,MAX(0,ROUNDUP(ROUND(Fares!$B$17+Fares!$B$30-3.2,1)-0.000000001,0)))+1))</f>
        <v/>
      </c>
      <c r="AE19">
        <f>Rides!$B$17/Rides!$B$41*Rides!$B$31/Rides!$B$41*(Fares!$C$17+Fares!$C$31-INDEX(Fares!$C$2:$C$40,MIN(38,MAX(0,ROUNDUP(ROUND(Fares!$B$17+Fares!$B$31-3.2,1)-0.000000001,0)))+1))</f>
        <v/>
      </c>
      <c r="AF19">
        <f>Rides!$B$17/Rides!$B$41*Rides!$B$32/Rides!$B$41*(Fares!$C$17+Fares!$C$32-INDEX(Fares!$C$2:$C$40,MIN(38,MAX(0,ROUNDUP(ROUND(Fares!$B$17+Fares!$B$32-3.2,1)-0.000000001,0)))+1))</f>
        <v/>
      </c>
      <c r="AG19">
        <f>Rides!$B$17/Rides!$B$41*Rides!$B$33/Rides!$B$41*(Fares!$C$17+Fares!$C$33-INDEX(Fares!$C$2:$C$40,MIN(38,MAX(0,ROUNDUP(ROUND(Fares!$B$17+Fares!$B$33-3.2,1)-0.000000001,0)))+1))</f>
        <v/>
      </c>
      <c r="AH19">
        <f>Rides!$B$17/Rides!$B$41*Rides!$B$34/Rides!$B$41*(Fares!$C$17+Fares!$C$34-INDEX(Fares!$C$2:$C$40,MIN(38,MAX(0,ROUNDUP(ROUND(Fares!$B$17+Fares!$B$34-3.2,1)-0.000000001,0)))+1))</f>
        <v/>
      </c>
      <c r="AI19">
        <f>Rides!$B$17/Rides!$B$41*Rides!$B$35/Rides!$B$41*(Fares!$C$17+Fares!$C$35-INDEX(Fares!$C$2:$C$40,MIN(38,MAX(0,ROUNDUP(ROUND(Fares!$B$17+Fares!$B$35-3.2,1)-0.000000001,0)))+1))</f>
        <v/>
      </c>
      <c r="AJ19">
        <f>Rides!$B$17/Rides!$B$41*Rides!$B$36/Rides!$B$41*(Fares!$C$17+Fares!$C$36-INDEX(Fares!$C$2:$C$40,MIN(38,MAX(0,ROUNDUP(ROUND(Fares!$B$17+Fares!$B$36-3.2,1)-0.000000001,0)))+1))</f>
        <v/>
      </c>
      <c r="AK19">
        <f>Rides!$B$17/Rides!$B$41*Rides!$B$37/Rides!$B$41*(Fares!$C$17+Fares!$C$37-INDEX(Fares!$C$2:$C$40,MIN(38,MAX(0,ROUNDUP(ROUND(Fares!$B$17+Fares!$B$37-3.2,1)-0.000000001,0)))+1))</f>
        <v/>
      </c>
      <c r="AL19">
        <f>Rides!$B$17/Rides!$B$41*Rides!$B$38/Rides!$B$41*(Fares!$C$17+Fares!$C$38-INDEX(Fares!$C$2:$C$40,MIN(38,MAX(0,ROUNDUP(ROUND(Fares!$B$17+Fares!$B$38-3.2,1)-0.000000001,0)))+1))</f>
        <v/>
      </c>
      <c r="AM19">
        <f>Rides!$B$17/Rides!$B$41*Rides!$B$39/Rides!$B$41*(Fares!$C$17+Fares!$C$39-INDEX(Fares!$C$2:$C$40,MIN(38,MAX(0,ROUNDUP(ROUND(Fares!$B$17+Fares!$B$39-3.2,1)-0.000000001,0)))+1))</f>
        <v/>
      </c>
      <c r="AN19">
        <f>Rides!$B$17/Rides!$B$41*Rides!$B$40/Rides!$B$41*(Fares!$C$17+Fares!$C$40-INDEX(Fares!$C$2:$C$40,MIN(38,MAX(0,ROUNDUP(ROUND(Fares!$B$17+Fares!$B$40-3.2,1)-0.000000001,0)))+1))</f>
        <v/>
      </c>
    </row>
    <row r="20">
      <c r="A20">
        <f>Fares!$B$18</f>
        <v/>
      </c>
      <c r="B20">
        <f>Rides!$B$18/Rides!$B$41*Rides!$B$2/Rides!$B$41*(Fares!$C$18+Fares!$C$2-INDEX(Fares!$C$2:$C$40,MIN(38,MAX(0,ROUNDUP(ROUND(Fares!$B$18+Fares!$B$2-3.2,1)-0.000000001,0)))+1))</f>
        <v/>
      </c>
      <c r="C20">
        <f>Rides!$B$18/Rides!$B$41*Rides!$B$3/Rides!$B$41*(Fares!$C$18+Fares!$C$3-INDEX(Fares!$C$2:$C$40,MIN(38,MAX(0,ROUNDUP(ROUND(Fares!$B$18+Fares!$B$3-3.2,1)-0.000000001,0)))+1))</f>
        <v/>
      </c>
      <c r="D20">
        <f>Rides!$B$18/Rides!$B$41*Rides!$B$4/Rides!$B$41*(Fares!$C$18+Fares!$C$4-INDEX(Fares!$C$2:$C$40,MIN(38,MAX(0,ROUNDUP(ROUND(Fares!$B$18+Fares!$B$4-3.2,1)-0.000000001,0)))+1))</f>
        <v/>
      </c>
      <c r="E20">
        <f>Rides!$B$18/Rides!$B$41*Rides!$B$5/Rides!$B$41*(Fares!$C$18+Fares!$C$5-INDEX(Fares!$C$2:$C$40,MIN(38,MAX(0,ROUNDUP(ROUND(Fares!$B$18+Fares!$B$5-3.2,1)-0.000000001,0)))+1))</f>
        <v/>
      </c>
      <c r="F20">
        <f>Rides!$B$18/Rides!$B$41*Rides!$B$6/Rides!$B$41*(Fares!$C$18+Fares!$C$6-INDEX(Fares!$C$2:$C$40,MIN(38,MAX(0,ROUNDUP(ROUND(Fares!$B$18+Fares!$B$6-3.2,1)-0.000000001,0)))+1))</f>
        <v/>
      </c>
      <c r="G20">
        <f>Rides!$B$18/Rides!$B$41*Rides!$B$7/Rides!$B$41*(Fares!$C$18+Fares!$C$7-INDEX(Fares!$C$2:$C$40,MIN(38,MAX(0,ROUNDUP(ROUND(Fares!$B$18+Fares!$B$7-3.2,1)-0.000000001,0)))+1))</f>
        <v/>
      </c>
      <c r="H20">
        <f>Rides!$B$18/Rides!$B$41*Rides!$B$8/Rides!$B$41*(Fares!$C$18+Fares!$C$8-INDEX(Fares!$C$2:$C$40,MIN(38,MAX(0,ROUNDUP(ROUND(Fares!$B$18+Fares!$B$8-3.2,1)-0.000000001,0)))+1))</f>
        <v/>
      </c>
      <c r="I20">
        <f>Rides!$B$18/Rides!$B$41*Rides!$B$9/Rides!$B$41*(Fares!$C$18+Fares!$C$9-INDEX(Fares!$C$2:$C$40,MIN(38,MAX(0,ROUNDUP(ROUND(Fares!$B$18+Fares!$B$9-3.2,1)-0.000000001,0)))+1))</f>
        <v/>
      </c>
      <c r="J20">
        <f>Rides!$B$18/Rides!$B$41*Rides!$B$10/Rides!$B$41*(Fares!$C$18+Fares!$C$10-INDEX(Fares!$C$2:$C$40,MIN(38,MAX(0,ROUNDUP(ROUND(Fares!$B$18+Fares!$B$10-3.2,1)-0.000000001,0)))+1))</f>
        <v/>
      </c>
      <c r="K20">
        <f>Rides!$B$18/Rides!$B$41*Rides!$B$11/Rides!$B$41*(Fares!$C$18+Fares!$C$11-INDEX(Fares!$C$2:$C$40,MIN(38,MAX(0,ROUNDUP(ROUND(Fares!$B$18+Fares!$B$11-3.2,1)-0.000000001,0)))+1))</f>
        <v/>
      </c>
      <c r="L20">
        <f>Rides!$B$18/Rides!$B$41*Rides!$B$12/Rides!$B$41*(Fares!$C$18+Fares!$C$12-INDEX(Fares!$C$2:$C$40,MIN(38,MAX(0,ROUNDUP(ROUND(Fares!$B$18+Fares!$B$12-3.2,1)-0.000000001,0)))+1))</f>
        <v/>
      </c>
      <c r="M20">
        <f>Rides!$B$18/Rides!$B$41*Rides!$B$13/Rides!$B$41*(Fares!$C$18+Fares!$C$13-INDEX(Fares!$C$2:$C$40,MIN(38,MAX(0,ROUNDUP(ROUND(Fares!$B$18+Fares!$B$13-3.2,1)-0.000000001,0)))+1))</f>
        <v/>
      </c>
      <c r="N20">
        <f>Rides!$B$18/Rides!$B$41*Rides!$B$14/Rides!$B$41*(Fares!$C$18+Fares!$C$14-INDEX(Fares!$C$2:$C$40,MIN(38,MAX(0,ROUNDUP(ROUND(Fares!$B$18+Fares!$B$14-3.2,1)-0.000000001,0)))+1))</f>
        <v/>
      </c>
      <c r="O20">
        <f>Rides!$B$18/Rides!$B$41*Rides!$B$15/Rides!$B$41*(Fares!$C$18+Fares!$C$15-INDEX(Fares!$C$2:$C$40,MIN(38,MAX(0,ROUNDUP(ROUND(Fares!$B$18+Fares!$B$15-3.2,1)-0.000000001,0)))+1))</f>
        <v/>
      </c>
      <c r="P20">
        <f>Rides!$B$18/Rides!$B$41*Rides!$B$16/Rides!$B$41*(Fares!$C$18+Fares!$C$16-INDEX(Fares!$C$2:$C$40,MIN(38,MAX(0,ROUNDUP(ROUND(Fares!$B$18+Fares!$B$16-3.2,1)-0.000000001,0)))+1))</f>
        <v/>
      </c>
      <c r="Q20">
        <f>Rides!$B$18/Rides!$B$41*Rides!$B$17/Rides!$B$41*(Fares!$C$18+Fares!$C$17-INDEX(Fares!$C$2:$C$40,MIN(38,MAX(0,ROUNDUP(ROUND(Fares!$B$18+Fares!$B$17-3.2,1)-0.000000001,0)))+1))</f>
        <v/>
      </c>
      <c r="R20">
        <f>Rides!$B$18/Rides!$B$41*Rides!$B$18/Rides!$B$41*(Fares!$C$18+Fares!$C$18-INDEX(Fares!$C$2:$C$40,MIN(38,MAX(0,ROUNDUP(ROUND(Fares!$B$18+Fares!$B$18-3.2,1)-0.000000001,0)))+1))</f>
        <v/>
      </c>
      <c r="S20">
        <f>Rides!$B$18/Rides!$B$41*Rides!$B$19/Rides!$B$41*(Fares!$C$18+Fares!$C$19-INDEX(Fares!$C$2:$C$40,MIN(38,MAX(0,ROUNDUP(ROUND(Fares!$B$18+Fares!$B$19-3.2,1)-0.000000001,0)))+1))</f>
        <v/>
      </c>
      <c r="T20">
        <f>Rides!$B$18/Rides!$B$41*Rides!$B$20/Rides!$B$41*(Fares!$C$18+Fares!$C$20-INDEX(Fares!$C$2:$C$40,MIN(38,MAX(0,ROUNDUP(ROUND(Fares!$B$18+Fares!$B$20-3.2,1)-0.000000001,0)))+1))</f>
        <v/>
      </c>
      <c r="U20">
        <f>Rides!$B$18/Rides!$B$41*Rides!$B$21/Rides!$B$41*(Fares!$C$18+Fares!$C$21-INDEX(Fares!$C$2:$C$40,MIN(38,MAX(0,ROUNDUP(ROUND(Fares!$B$18+Fares!$B$21-3.2,1)-0.000000001,0)))+1))</f>
        <v/>
      </c>
      <c r="V20">
        <f>Rides!$B$18/Rides!$B$41*Rides!$B$22/Rides!$B$41*(Fares!$C$18+Fares!$C$22-INDEX(Fares!$C$2:$C$40,MIN(38,MAX(0,ROUNDUP(ROUND(Fares!$B$18+Fares!$B$22-3.2,1)-0.000000001,0)))+1))</f>
        <v/>
      </c>
      <c r="W20">
        <f>Rides!$B$18/Rides!$B$41*Rides!$B$23/Rides!$B$41*(Fares!$C$18+Fares!$C$23-INDEX(Fares!$C$2:$C$40,MIN(38,MAX(0,ROUNDUP(ROUND(Fares!$B$18+Fares!$B$23-3.2,1)-0.000000001,0)))+1))</f>
        <v/>
      </c>
      <c r="X20">
        <f>Rides!$B$18/Rides!$B$41*Rides!$B$24/Rides!$B$41*(Fares!$C$18+Fares!$C$24-INDEX(Fares!$C$2:$C$40,MIN(38,MAX(0,ROUNDUP(ROUND(Fares!$B$18+Fares!$B$24-3.2,1)-0.000000001,0)))+1))</f>
        <v/>
      </c>
      <c r="Y20">
        <f>Rides!$B$18/Rides!$B$41*Rides!$B$25/Rides!$B$41*(Fares!$C$18+Fares!$C$25-INDEX(Fares!$C$2:$C$40,MIN(38,MAX(0,ROUNDUP(ROUND(Fares!$B$18+Fares!$B$25-3.2,1)-0.000000001,0)))+1))</f>
        <v/>
      </c>
      <c r="Z20">
        <f>Rides!$B$18/Rides!$B$41*Rides!$B$26/Rides!$B$41*(Fares!$C$18+Fares!$C$26-INDEX(Fares!$C$2:$C$40,MIN(38,MAX(0,ROUNDUP(ROUND(Fares!$B$18+Fares!$B$26-3.2,1)-0.000000001,0)))+1))</f>
        <v/>
      </c>
      <c r="AA20">
        <f>Rides!$B$18/Rides!$B$41*Rides!$B$27/Rides!$B$41*(Fares!$C$18+Fares!$C$27-INDEX(Fares!$C$2:$C$40,MIN(38,MAX(0,ROUNDUP(ROUND(Fares!$B$18+Fares!$B$27-3.2,1)-0.000000001,0)))+1))</f>
        <v/>
      </c>
      <c r="AB20">
        <f>Rides!$B$18/Rides!$B$41*Rides!$B$28/Rides!$B$41*(Fares!$C$18+Fares!$C$28-INDEX(Fares!$C$2:$C$40,MIN(38,MAX(0,ROUNDUP(ROUND(Fares!$B$18+Fares!$B$28-3.2,1)-0.000000001,0)))+1))</f>
        <v/>
      </c>
      <c r="AC20">
        <f>Rides!$B$18/Rides!$B$41*Rides!$B$29/Rides!$B$41*(Fares!$C$18+Fares!$C$29-INDEX(Fares!$C$2:$C$40,MIN(38,MAX(0,ROUNDUP(ROUND(Fares!$B$18+Fares!$B$29-3.2,1)-0.000000001,0)))+1))</f>
        <v/>
      </c>
      <c r="AD20">
        <f>Rides!$B$18/Rides!$B$41*Rides!$B$30/Rides!$B$41*(Fares!$C$18+Fares!$C$30-INDEX(Fares!$C$2:$C$40,MIN(38,MAX(0,ROUNDUP(ROUND(Fares!$B$18+Fares!$B$30-3.2,1)-0.000000001,0)))+1))</f>
        <v/>
      </c>
      <c r="AE20">
        <f>Rides!$B$18/Rides!$B$41*Rides!$B$31/Rides!$B$41*(Fares!$C$18+Fares!$C$31-INDEX(Fares!$C$2:$C$40,MIN(38,MAX(0,ROUNDUP(ROUND(Fares!$B$18+Fares!$B$31-3.2,1)-0.000000001,0)))+1))</f>
        <v/>
      </c>
      <c r="AF20">
        <f>Rides!$B$18/Rides!$B$41*Rides!$B$32/Rides!$B$41*(Fares!$C$18+Fares!$C$32-INDEX(Fares!$C$2:$C$40,MIN(38,MAX(0,ROUNDUP(ROUND(Fares!$B$18+Fares!$B$32-3.2,1)-0.000000001,0)))+1))</f>
        <v/>
      </c>
      <c r="AG20">
        <f>Rides!$B$18/Rides!$B$41*Rides!$B$33/Rides!$B$41*(Fares!$C$18+Fares!$C$33-INDEX(Fares!$C$2:$C$40,MIN(38,MAX(0,ROUNDUP(ROUND(Fares!$B$18+Fares!$B$33-3.2,1)-0.000000001,0)))+1))</f>
        <v/>
      </c>
      <c r="AH20">
        <f>Rides!$B$18/Rides!$B$41*Rides!$B$34/Rides!$B$41*(Fares!$C$18+Fares!$C$34-INDEX(Fares!$C$2:$C$40,MIN(38,MAX(0,ROUNDUP(ROUND(Fares!$B$18+Fares!$B$34-3.2,1)-0.000000001,0)))+1))</f>
        <v/>
      </c>
      <c r="AI20">
        <f>Rides!$B$18/Rides!$B$41*Rides!$B$35/Rides!$B$41*(Fares!$C$18+Fares!$C$35-INDEX(Fares!$C$2:$C$40,MIN(38,MAX(0,ROUNDUP(ROUND(Fares!$B$18+Fares!$B$35-3.2,1)-0.000000001,0)))+1))</f>
        <v/>
      </c>
      <c r="AJ20">
        <f>Rides!$B$18/Rides!$B$41*Rides!$B$36/Rides!$B$41*(Fares!$C$18+Fares!$C$36-INDEX(Fares!$C$2:$C$40,MIN(38,MAX(0,ROUNDUP(ROUND(Fares!$B$18+Fares!$B$36-3.2,1)-0.000000001,0)))+1))</f>
        <v/>
      </c>
      <c r="AK20">
        <f>Rides!$B$18/Rides!$B$41*Rides!$B$37/Rides!$B$41*(Fares!$C$18+Fares!$C$37-INDEX(Fares!$C$2:$C$40,MIN(38,MAX(0,ROUNDUP(ROUND(Fares!$B$18+Fares!$B$37-3.2,1)-0.000000001,0)))+1))</f>
        <v/>
      </c>
      <c r="AL20">
        <f>Rides!$B$18/Rides!$B$41*Rides!$B$38/Rides!$B$41*(Fares!$C$18+Fares!$C$38-INDEX(Fares!$C$2:$C$40,MIN(38,MAX(0,ROUNDUP(ROUND(Fares!$B$18+Fares!$B$38-3.2,1)-0.000000001,0)))+1))</f>
        <v/>
      </c>
      <c r="AM20">
        <f>Rides!$B$18/Rides!$B$41*Rides!$B$39/Rides!$B$41*(Fares!$C$18+Fares!$C$39-INDEX(Fares!$C$2:$C$40,MIN(38,MAX(0,ROUNDUP(ROUND(Fares!$B$18+Fares!$B$39-3.2,1)-0.000000001,0)))+1))</f>
        <v/>
      </c>
      <c r="AN20">
        <f>Rides!$B$18/Rides!$B$41*Rides!$B$40/Rides!$B$41*(Fares!$C$18+Fares!$C$40-INDEX(Fares!$C$2:$C$40,MIN(38,MAX(0,ROUNDUP(ROUND(Fares!$B$18+Fares!$B$40-3.2,1)-0.000000001,0)))+1))</f>
        <v/>
      </c>
    </row>
    <row r="21">
      <c r="A21">
        <f>Fares!$B$19</f>
        <v/>
      </c>
      <c r="B21">
        <f>Rides!$B$19/Rides!$B$41*Rides!$B$2/Rides!$B$41*(Fares!$C$19+Fares!$C$2-INDEX(Fares!$C$2:$C$40,MIN(38,MAX(0,ROUNDUP(ROUND(Fares!$B$19+Fares!$B$2-3.2,1)-0.000000001,0)))+1))</f>
        <v/>
      </c>
      <c r="C21">
        <f>Rides!$B$19/Rides!$B$41*Rides!$B$3/Rides!$B$41*(Fares!$C$19+Fares!$C$3-INDEX(Fares!$C$2:$C$40,MIN(38,MAX(0,ROUNDUP(ROUND(Fares!$B$19+Fares!$B$3-3.2,1)-0.000000001,0)))+1))</f>
        <v/>
      </c>
      <c r="D21">
        <f>Rides!$B$19/Rides!$B$41*Rides!$B$4/Rides!$B$41*(Fares!$C$19+Fares!$C$4-INDEX(Fares!$C$2:$C$40,MIN(38,MAX(0,ROUNDUP(ROUND(Fares!$B$19+Fares!$B$4-3.2,1)-0.000000001,0)))+1))</f>
        <v/>
      </c>
      <c r="E21">
        <f>Rides!$B$19/Rides!$B$41*Rides!$B$5/Rides!$B$41*(Fares!$C$19+Fares!$C$5-INDEX(Fares!$C$2:$C$40,MIN(38,MAX(0,ROUNDUP(ROUND(Fares!$B$19+Fares!$B$5-3.2,1)-0.000000001,0)))+1))</f>
        <v/>
      </c>
      <c r="F21">
        <f>Rides!$B$19/Rides!$B$41*Rides!$B$6/Rides!$B$41*(Fares!$C$19+Fares!$C$6-INDEX(Fares!$C$2:$C$40,MIN(38,MAX(0,ROUNDUP(ROUND(Fares!$B$19+Fares!$B$6-3.2,1)-0.000000001,0)))+1))</f>
        <v/>
      </c>
      <c r="G21">
        <f>Rides!$B$19/Rides!$B$41*Rides!$B$7/Rides!$B$41*(Fares!$C$19+Fares!$C$7-INDEX(Fares!$C$2:$C$40,MIN(38,MAX(0,ROUNDUP(ROUND(Fares!$B$19+Fares!$B$7-3.2,1)-0.000000001,0)))+1))</f>
        <v/>
      </c>
      <c r="H21">
        <f>Rides!$B$19/Rides!$B$41*Rides!$B$8/Rides!$B$41*(Fares!$C$19+Fares!$C$8-INDEX(Fares!$C$2:$C$40,MIN(38,MAX(0,ROUNDUP(ROUND(Fares!$B$19+Fares!$B$8-3.2,1)-0.000000001,0)))+1))</f>
        <v/>
      </c>
      <c r="I21">
        <f>Rides!$B$19/Rides!$B$41*Rides!$B$9/Rides!$B$41*(Fares!$C$19+Fares!$C$9-INDEX(Fares!$C$2:$C$40,MIN(38,MAX(0,ROUNDUP(ROUND(Fares!$B$19+Fares!$B$9-3.2,1)-0.000000001,0)))+1))</f>
        <v/>
      </c>
      <c r="J21">
        <f>Rides!$B$19/Rides!$B$41*Rides!$B$10/Rides!$B$41*(Fares!$C$19+Fares!$C$10-INDEX(Fares!$C$2:$C$40,MIN(38,MAX(0,ROUNDUP(ROUND(Fares!$B$19+Fares!$B$10-3.2,1)-0.000000001,0)))+1))</f>
        <v/>
      </c>
      <c r="K21">
        <f>Rides!$B$19/Rides!$B$41*Rides!$B$11/Rides!$B$41*(Fares!$C$19+Fares!$C$11-INDEX(Fares!$C$2:$C$40,MIN(38,MAX(0,ROUNDUP(ROUND(Fares!$B$19+Fares!$B$11-3.2,1)-0.000000001,0)))+1))</f>
        <v/>
      </c>
      <c r="L21">
        <f>Rides!$B$19/Rides!$B$41*Rides!$B$12/Rides!$B$41*(Fares!$C$19+Fares!$C$12-INDEX(Fares!$C$2:$C$40,MIN(38,MAX(0,ROUNDUP(ROUND(Fares!$B$19+Fares!$B$12-3.2,1)-0.000000001,0)))+1))</f>
        <v/>
      </c>
      <c r="M21">
        <f>Rides!$B$19/Rides!$B$41*Rides!$B$13/Rides!$B$41*(Fares!$C$19+Fares!$C$13-INDEX(Fares!$C$2:$C$40,MIN(38,MAX(0,ROUNDUP(ROUND(Fares!$B$19+Fares!$B$13-3.2,1)-0.000000001,0)))+1))</f>
        <v/>
      </c>
      <c r="N21">
        <f>Rides!$B$19/Rides!$B$41*Rides!$B$14/Rides!$B$41*(Fares!$C$19+Fares!$C$14-INDEX(Fares!$C$2:$C$40,MIN(38,MAX(0,ROUNDUP(ROUND(Fares!$B$19+Fares!$B$14-3.2,1)-0.000000001,0)))+1))</f>
        <v/>
      </c>
      <c r="O21">
        <f>Rides!$B$19/Rides!$B$41*Rides!$B$15/Rides!$B$41*(Fares!$C$19+Fares!$C$15-INDEX(Fares!$C$2:$C$40,MIN(38,MAX(0,ROUNDUP(ROUND(Fares!$B$19+Fares!$B$15-3.2,1)-0.000000001,0)))+1))</f>
        <v/>
      </c>
      <c r="P21">
        <f>Rides!$B$19/Rides!$B$41*Rides!$B$16/Rides!$B$41*(Fares!$C$19+Fares!$C$16-INDEX(Fares!$C$2:$C$40,MIN(38,MAX(0,ROUNDUP(ROUND(Fares!$B$19+Fares!$B$16-3.2,1)-0.000000001,0)))+1))</f>
        <v/>
      </c>
      <c r="Q21">
        <f>Rides!$B$19/Rides!$B$41*Rides!$B$17/Rides!$B$41*(Fares!$C$19+Fares!$C$17-INDEX(Fares!$C$2:$C$40,MIN(38,MAX(0,ROUNDUP(ROUND(Fares!$B$19+Fares!$B$17-3.2,1)-0.000000001,0)))+1))</f>
        <v/>
      </c>
      <c r="R21">
        <f>Rides!$B$19/Rides!$B$41*Rides!$B$18/Rides!$B$41*(Fares!$C$19+Fares!$C$18-INDEX(Fares!$C$2:$C$40,MIN(38,MAX(0,ROUNDUP(ROUND(Fares!$B$19+Fares!$B$18-3.2,1)-0.000000001,0)))+1))</f>
        <v/>
      </c>
      <c r="S21">
        <f>Rides!$B$19/Rides!$B$41*Rides!$B$19/Rides!$B$41*(Fares!$C$19+Fares!$C$19-INDEX(Fares!$C$2:$C$40,MIN(38,MAX(0,ROUNDUP(ROUND(Fares!$B$19+Fares!$B$19-3.2,1)-0.000000001,0)))+1))</f>
        <v/>
      </c>
      <c r="T21">
        <f>Rides!$B$19/Rides!$B$41*Rides!$B$20/Rides!$B$41*(Fares!$C$19+Fares!$C$20-INDEX(Fares!$C$2:$C$40,MIN(38,MAX(0,ROUNDUP(ROUND(Fares!$B$19+Fares!$B$20-3.2,1)-0.000000001,0)))+1))</f>
        <v/>
      </c>
      <c r="U21">
        <f>Rides!$B$19/Rides!$B$41*Rides!$B$21/Rides!$B$41*(Fares!$C$19+Fares!$C$21-INDEX(Fares!$C$2:$C$40,MIN(38,MAX(0,ROUNDUP(ROUND(Fares!$B$19+Fares!$B$21-3.2,1)-0.000000001,0)))+1))</f>
        <v/>
      </c>
      <c r="V21">
        <f>Rides!$B$19/Rides!$B$41*Rides!$B$22/Rides!$B$41*(Fares!$C$19+Fares!$C$22-INDEX(Fares!$C$2:$C$40,MIN(38,MAX(0,ROUNDUP(ROUND(Fares!$B$19+Fares!$B$22-3.2,1)-0.000000001,0)))+1))</f>
        <v/>
      </c>
      <c r="W21">
        <f>Rides!$B$19/Rides!$B$41*Rides!$B$23/Rides!$B$41*(Fares!$C$19+Fares!$C$23-INDEX(Fares!$C$2:$C$40,MIN(38,MAX(0,ROUNDUP(ROUND(Fares!$B$19+Fares!$B$23-3.2,1)-0.000000001,0)))+1))</f>
        <v/>
      </c>
      <c r="X21">
        <f>Rides!$B$19/Rides!$B$41*Rides!$B$24/Rides!$B$41*(Fares!$C$19+Fares!$C$24-INDEX(Fares!$C$2:$C$40,MIN(38,MAX(0,ROUNDUP(ROUND(Fares!$B$19+Fares!$B$24-3.2,1)-0.000000001,0)))+1))</f>
        <v/>
      </c>
      <c r="Y21">
        <f>Rides!$B$19/Rides!$B$41*Rides!$B$25/Rides!$B$41*(Fares!$C$19+Fares!$C$25-INDEX(Fares!$C$2:$C$40,MIN(38,MAX(0,ROUNDUP(ROUND(Fares!$B$19+Fares!$B$25-3.2,1)-0.000000001,0)))+1))</f>
        <v/>
      </c>
      <c r="Z21">
        <f>Rides!$B$19/Rides!$B$41*Rides!$B$26/Rides!$B$41*(Fares!$C$19+Fares!$C$26-INDEX(Fares!$C$2:$C$40,MIN(38,MAX(0,ROUNDUP(ROUND(Fares!$B$19+Fares!$B$26-3.2,1)-0.000000001,0)))+1))</f>
        <v/>
      </c>
      <c r="AA21">
        <f>Rides!$B$19/Rides!$B$41*Rides!$B$27/Rides!$B$41*(Fares!$C$19+Fares!$C$27-INDEX(Fares!$C$2:$C$40,MIN(38,MAX(0,ROUNDUP(ROUND(Fares!$B$19+Fares!$B$27-3.2,1)-0.000000001,0)))+1))</f>
        <v/>
      </c>
      <c r="AB21">
        <f>Rides!$B$19/Rides!$B$41*Rides!$B$28/Rides!$B$41*(Fares!$C$19+Fares!$C$28-INDEX(Fares!$C$2:$C$40,MIN(38,MAX(0,ROUNDUP(ROUND(Fares!$B$19+Fares!$B$28-3.2,1)-0.000000001,0)))+1))</f>
        <v/>
      </c>
      <c r="AC21">
        <f>Rides!$B$19/Rides!$B$41*Rides!$B$29/Rides!$B$41*(Fares!$C$19+Fares!$C$29-INDEX(Fares!$C$2:$C$40,MIN(38,MAX(0,ROUNDUP(ROUND(Fares!$B$19+Fares!$B$29-3.2,1)-0.000000001,0)))+1))</f>
        <v/>
      </c>
      <c r="AD21">
        <f>Rides!$B$19/Rides!$B$41*Rides!$B$30/Rides!$B$41*(Fares!$C$19+Fares!$C$30-INDEX(Fares!$C$2:$C$40,MIN(38,MAX(0,ROUNDUP(ROUND(Fares!$B$19+Fares!$B$30-3.2,1)-0.000000001,0)))+1))</f>
        <v/>
      </c>
      <c r="AE21">
        <f>Rides!$B$19/Rides!$B$41*Rides!$B$31/Rides!$B$41*(Fares!$C$19+Fares!$C$31-INDEX(Fares!$C$2:$C$40,MIN(38,MAX(0,ROUNDUP(ROUND(Fares!$B$19+Fares!$B$31-3.2,1)-0.000000001,0)))+1))</f>
        <v/>
      </c>
      <c r="AF21">
        <f>Rides!$B$19/Rides!$B$41*Rides!$B$32/Rides!$B$41*(Fares!$C$19+Fares!$C$32-INDEX(Fares!$C$2:$C$40,MIN(38,MAX(0,ROUNDUP(ROUND(Fares!$B$19+Fares!$B$32-3.2,1)-0.000000001,0)))+1))</f>
        <v/>
      </c>
      <c r="AG21">
        <f>Rides!$B$19/Rides!$B$41*Rides!$B$33/Rides!$B$41*(Fares!$C$19+Fares!$C$33-INDEX(Fares!$C$2:$C$40,MIN(38,MAX(0,ROUNDUP(ROUND(Fares!$B$19+Fares!$B$33-3.2,1)-0.000000001,0)))+1))</f>
        <v/>
      </c>
      <c r="AH21">
        <f>Rides!$B$19/Rides!$B$41*Rides!$B$34/Rides!$B$41*(Fares!$C$19+Fares!$C$34-INDEX(Fares!$C$2:$C$40,MIN(38,MAX(0,ROUNDUP(ROUND(Fares!$B$19+Fares!$B$34-3.2,1)-0.000000001,0)))+1))</f>
        <v/>
      </c>
      <c r="AI21">
        <f>Rides!$B$19/Rides!$B$41*Rides!$B$35/Rides!$B$41*(Fares!$C$19+Fares!$C$35-INDEX(Fares!$C$2:$C$40,MIN(38,MAX(0,ROUNDUP(ROUND(Fares!$B$19+Fares!$B$35-3.2,1)-0.000000001,0)))+1))</f>
        <v/>
      </c>
      <c r="AJ21">
        <f>Rides!$B$19/Rides!$B$41*Rides!$B$36/Rides!$B$41*(Fares!$C$19+Fares!$C$36-INDEX(Fares!$C$2:$C$40,MIN(38,MAX(0,ROUNDUP(ROUND(Fares!$B$19+Fares!$B$36-3.2,1)-0.000000001,0)))+1))</f>
        <v/>
      </c>
      <c r="AK21">
        <f>Rides!$B$19/Rides!$B$41*Rides!$B$37/Rides!$B$41*(Fares!$C$19+Fares!$C$37-INDEX(Fares!$C$2:$C$40,MIN(38,MAX(0,ROUNDUP(ROUND(Fares!$B$19+Fares!$B$37-3.2,1)-0.000000001,0)))+1))</f>
        <v/>
      </c>
      <c r="AL21">
        <f>Rides!$B$19/Rides!$B$41*Rides!$B$38/Rides!$B$41*(Fares!$C$19+Fares!$C$38-INDEX(Fares!$C$2:$C$40,MIN(38,MAX(0,ROUNDUP(ROUND(Fares!$B$19+Fares!$B$38-3.2,1)-0.000000001,0)))+1))</f>
        <v/>
      </c>
      <c r="AM21">
        <f>Rides!$B$19/Rides!$B$41*Rides!$B$39/Rides!$B$41*(Fares!$C$19+Fares!$C$39-INDEX(Fares!$C$2:$C$40,MIN(38,MAX(0,ROUNDUP(ROUND(Fares!$B$19+Fares!$B$39-3.2,1)-0.000000001,0)))+1))</f>
        <v/>
      </c>
      <c r="AN21">
        <f>Rides!$B$19/Rides!$B$41*Rides!$B$40/Rides!$B$41*(Fares!$C$19+Fares!$C$40-INDEX(Fares!$C$2:$C$40,MIN(38,MAX(0,ROUNDUP(ROUND(Fares!$B$19+Fares!$B$40-3.2,1)-0.000000001,0)))+1))</f>
        <v/>
      </c>
    </row>
    <row r="22">
      <c r="A22">
        <f>Fares!$B$20</f>
        <v/>
      </c>
      <c r="B22">
        <f>Rides!$B$20/Rides!$B$41*Rides!$B$2/Rides!$B$41*(Fares!$C$20+Fares!$C$2-INDEX(Fares!$C$2:$C$40,MIN(38,MAX(0,ROUNDUP(ROUND(Fares!$B$20+Fares!$B$2-3.2,1)-0.000000001,0)))+1))</f>
        <v/>
      </c>
      <c r="C22">
        <f>Rides!$B$20/Rides!$B$41*Rides!$B$3/Rides!$B$41*(Fares!$C$20+Fares!$C$3-INDEX(Fares!$C$2:$C$40,MIN(38,MAX(0,ROUNDUP(ROUND(Fares!$B$20+Fares!$B$3-3.2,1)-0.000000001,0)))+1))</f>
        <v/>
      </c>
      <c r="D22">
        <f>Rides!$B$20/Rides!$B$41*Rides!$B$4/Rides!$B$41*(Fares!$C$20+Fares!$C$4-INDEX(Fares!$C$2:$C$40,MIN(38,MAX(0,ROUNDUP(ROUND(Fares!$B$20+Fares!$B$4-3.2,1)-0.000000001,0)))+1))</f>
        <v/>
      </c>
      <c r="E22">
        <f>Rides!$B$20/Rides!$B$41*Rides!$B$5/Rides!$B$41*(Fares!$C$20+Fares!$C$5-INDEX(Fares!$C$2:$C$40,MIN(38,MAX(0,ROUNDUP(ROUND(Fares!$B$20+Fares!$B$5-3.2,1)-0.000000001,0)))+1))</f>
        <v/>
      </c>
      <c r="F22">
        <f>Rides!$B$20/Rides!$B$41*Rides!$B$6/Rides!$B$41*(Fares!$C$20+Fares!$C$6-INDEX(Fares!$C$2:$C$40,MIN(38,MAX(0,ROUNDUP(ROUND(Fares!$B$20+Fares!$B$6-3.2,1)-0.000000001,0)))+1))</f>
        <v/>
      </c>
      <c r="G22">
        <f>Rides!$B$20/Rides!$B$41*Rides!$B$7/Rides!$B$41*(Fares!$C$20+Fares!$C$7-INDEX(Fares!$C$2:$C$40,MIN(38,MAX(0,ROUNDUP(ROUND(Fares!$B$20+Fares!$B$7-3.2,1)-0.000000001,0)))+1))</f>
        <v/>
      </c>
      <c r="H22">
        <f>Rides!$B$20/Rides!$B$41*Rides!$B$8/Rides!$B$41*(Fares!$C$20+Fares!$C$8-INDEX(Fares!$C$2:$C$40,MIN(38,MAX(0,ROUNDUP(ROUND(Fares!$B$20+Fares!$B$8-3.2,1)-0.000000001,0)))+1))</f>
        <v/>
      </c>
      <c r="I22">
        <f>Rides!$B$20/Rides!$B$41*Rides!$B$9/Rides!$B$41*(Fares!$C$20+Fares!$C$9-INDEX(Fares!$C$2:$C$40,MIN(38,MAX(0,ROUNDUP(ROUND(Fares!$B$20+Fares!$B$9-3.2,1)-0.000000001,0)))+1))</f>
        <v/>
      </c>
      <c r="J22">
        <f>Rides!$B$20/Rides!$B$41*Rides!$B$10/Rides!$B$41*(Fares!$C$20+Fares!$C$10-INDEX(Fares!$C$2:$C$40,MIN(38,MAX(0,ROUNDUP(ROUND(Fares!$B$20+Fares!$B$10-3.2,1)-0.000000001,0)))+1))</f>
        <v/>
      </c>
      <c r="K22">
        <f>Rides!$B$20/Rides!$B$41*Rides!$B$11/Rides!$B$41*(Fares!$C$20+Fares!$C$11-INDEX(Fares!$C$2:$C$40,MIN(38,MAX(0,ROUNDUP(ROUND(Fares!$B$20+Fares!$B$11-3.2,1)-0.000000001,0)))+1))</f>
        <v/>
      </c>
      <c r="L22">
        <f>Rides!$B$20/Rides!$B$41*Rides!$B$12/Rides!$B$41*(Fares!$C$20+Fares!$C$12-INDEX(Fares!$C$2:$C$40,MIN(38,MAX(0,ROUNDUP(ROUND(Fares!$B$20+Fares!$B$12-3.2,1)-0.000000001,0)))+1))</f>
        <v/>
      </c>
      <c r="M22">
        <f>Rides!$B$20/Rides!$B$41*Rides!$B$13/Rides!$B$41*(Fares!$C$20+Fares!$C$13-INDEX(Fares!$C$2:$C$40,MIN(38,MAX(0,ROUNDUP(ROUND(Fares!$B$20+Fares!$B$13-3.2,1)-0.000000001,0)))+1))</f>
        <v/>
      </c>
      <c r="N22">
        <f>Rides!$B$20/Rides!$B$41*Rides!$B$14/Rides!$B$41*(Fares!$C$20+Fares!$C$14-INDEX(Fares!$C$2:$C$40,MIN(38,MAX(0,ROUNDUP(ROUND(Fares!$B$20+Fares!$B$14-3.2,1)-0.000000001,0)))+1))</f>
        <v/>
      </c>
      <c r="O22">
        <f>Rides!$B$20/Rides!$B$41*Rides!$B$15/Rides!$B$41*(Fares!$C$20+Fares!$C$15-INDEX(Fares!$C$2:$C$40,MIN(38,MAX(0,ROUNDUP(ROUND(Fares!$B$20+Fares!$B$15-3.2,1)-0.000000001,0)))+1))</f>
        <v/>
      </c>
      <c r="P22">
        <f>Rides!$B$20/Rides!$B$41*Rides!$B$16/Rides!$B$41*(Fares!$C$20+Fares!$C$16-INDEX(Fares!$C$2:$C$40,MIN(38,MAX(0,ROUNDUP(ROUND(Fares!$B$20+Fares!$B$16-3.2,1)-0.000000001,0)))+1))</f>
        <v/>
      </c>
      <c r="Q22">
        <f>Rides!$B$20/Rides!$B$41*Rides!$B$17/Rides!$B$41*(Fares!$C$20+Fares!$C$17-INDEX(Fares!$C$2:$C$40,MIN(38,MAX(0,ROUNDUP(ROUND(Fares!$B$20+Fares!$B$17-3.2,1)-0.000000001,0)))+1))</f>
        <v/>
      </c>
      <c r="R22">
        <f>Rides!$B$20/Rides!$B$41*Rides!$B$18/Rides!$B$41*(Fares!$C$20+Fares!$C$18-INDEX(Fares!$C$2:$C$40,MIN(38,MAX(0,ROUNDUP(ROUND(Fares!$B$20+Fares!$B$18-3.2,1)-0.000000001,0)))+1))</f>
        <v/>
      </c>
      <c r="S22">
        <f>Rides!$B$20/Rides!$B$41*Rides!$B$19/Rides!$B$41*(Fares!$C$20+Fares!$C$19-INDEX(Fares!$C$2:$C$40,MIN(38,MAX(0,ROUNDUP(ROUND(Fares!$B$20+Fares!$B$19-3.2,1)-0.000000001,0)))+1))</f>
        <v/>
      </c>
      <c r="T22">
        <f>Rides!$B$20/Rides!$B$41*Rides!$B$20/Rides!$B$41*(Fares!$C$20+Fares!$C$20-INDEX(Fares!$C$2:$C$40,MIN(38,MAX(0,ROUNDUP(ROUND(Fares!$B$20+Fares!$B$20-3.2,1)-0.000000001,0)))+1))</f>
        <v/>
      </c>
      <c r="U22">
        <f>Rides!$B$20/Rides!$B$41*Rides!$B$21/Rides!$B$41*(Fares!$C$20+Fares!$C$21-INDEX(Fares!$C$2:$C$40,MIN(38,MAX(0,ROUNDUP(ROUND(Fares!$B$20+Fares!$B$21-3.2,1)-0.000000001,0)))+1))</f>
        <v/>
      </c>
      <c r="V22">
        <f>Rides!$B$20/Rides!$B$41*Rides!$B$22/Rides!$B$41*(Fares!$C$20+Fares!$C$22-INDEX(Fares!$C$2:$C$40,MIN(38,MAX(0,ROUNDUP(ROUND(Fares!$B$20+Fares!$B$22-3.2,1)-0.000000001,0)))+1))</f>
        <v/>
      </c>
      <c r="W22">
        <f>Rides!$B$20/Rides!$B$41*Rides!$B$23/Rides!$B$41*(Fares!$C$20+Fares!$C$23-INDEX(Fares!$C$2:$C$40,MIN(38,MAX(0,ROUNDUP(ROUND(Fares!$B$20+Fares!$B$23-3.2,1)-0.000000001,0)))+1))</f>
        <v/>
      </c>
      <c r="X22">
        <f>Rides!$B$20/Rides!$B$41*Rides!$B$24/Rides!$B$41*(Fares!$C$20+Fares!$C$24-INDEX(Fares!$C$2:$C$40,MIN(38,MAX(0,ROUNDUP(ROUND(Fares!$B$20+Fares!$B$24-3.2,1)-0.000000001,0)))+1))</f>
        <v/>
      </c>
      <c r="Y22">
        <f>Rides!$B$20/Rides!$B$41*Rides!$B$25/Rides!$B$41*(Fares!$C$20+Fares!$C$25-INDEX(Fares!$C$2:$C$40,MIN(38,MAX(0,ROUNDUP(ROUND(Fares!$B$20+Fares!$B$25-3.2,1)-0.000000001,0)))+1))</f>
        <v/>
      </c>
      <c r="Z22">
        <f>Rides!$B$20/Rides!$B$41*Rides!$B$26/Rides!$B$41*(Fares!$C$20+Fares!$C$26-INDEX(Fares!$C$2:$C$40,MIN(38,MAX(0,ROUNDUP(ROUND(Fares!$B$20+Fares!$B$26-3.2,1)-0.000000001,0)))+1))</f>
        <v/>
      </c>
      <c r="AA22">
        <f>Rides!$B$20/Rides!$B$41*Rides!$B$27/Rides!$B$41*(Fares!$C$20+Fares!$C$27-INDEX(Fares!$C$2:$C$40,MIN(38,MAX(0,ROUNDUP(ROUND(Fares!$B$20+Fares!$B$27-3.2,1)-0.000000001,0)))+1))</f>
        <v/>
      </c>
      <c r="AB22">
        <f>Rides!$B$20/Rides!$B$41*Rides!$B$28/Rides!$B$41*(Fares!$C$20+Fares!$C$28-INDEX(Fares!$C$2:$C$40,MIN(38,MAX(0,ROUNDUP(ROUND(Fares!$B$20+Fares!$B$28-3.2,1)-0.000000001,0)))+1))</f>
        <v/>
      </c>
      <c r="AC22">
        <f>Rides!$B$20/Rides!$B$41*Rides!$B$29/Rides!$B$41*(Fares!$C$20+Fares!$C$29-INDEX(Fares!$C$2:$C$40,MIN(38,MAX(0,ROUNDUP(ROUND(Fares!$B$20+Fares!$B$29-3.2,1)-0.000000001,0)))+1))</f>
        <v/>
      </c>
      <c r="AD22">
        <f>Rides!$B$20/Rides!$B$41*Rides!$B$30/Rides!$B$41*(Fares!$C$20+Fares!$C$30-INDEX(Fares!$C$2:$C$40,MIN(38,MAX(0,ROUNDUP(ROUND(Fares!$B$20+Fares!$B$30-3.2,1)-0.000000001,0)))+1))</f>
        <v/>
      </c>
      <c r="AE22">
        <f>Rides!$B$20/Rides!$B$41*Rides!$B$31/Rides!$B$41*(Fares!$C$20+Fares!$C$31-INDEX(Fares!$C$2:$C$40,MIN(38,MAX(0,ROUNDUP(ROUND(Fares!$B$20+Fares!$B$31-3.2,1)-0.000000001,0)))+1))</f>
        <v/>
      </c>
      <c r="AF22">
        <f>Rides!$B$20/Rides!$B$41*Rides!$B$32/Rides!$B$41*(Fares!$C$20+Fares!$C$32-INDEX(Fares!$C$2:$C$40,MIN(38,MAX(0,ROUNDUP(ROUND(Fares!$B$20+Fares!$B$32-3.2,1)-0.000000001,0)))+1))</f>
        <v/>
      </c>
      <c r="AG22">
        <f>Rides!$B$20/Rides!$B$41*Rides!$B$33/Rides!$B$41*(Fares!$C$20+Fares!$C$33-INDEX(Fares!$C$2:$C$40,MIN(38,MAX(0,ROUNDUP(ROUND(Fares!$B$20+Fares!$B$33-3.2,1)-0.000000001,0)))+1))</f>
        <v/>
      </c>
      <c r="AH22">
        <f>Rides!$B$20/Rides!$B$41*Rides!$B$34/Rides!$B$41*(Fares!$C$20+Fares!$C$34-INDEX(Fares!$C$2:$C$40,MIN(38,MAX(0,ROUNDUP(ROUND(Fares!$B$20+Fares!$B$34-3.2,1)-0.000000001,0)))+1))</f>
        <v/>
      </c>
      <c r="AI22">
        <f>Rides!$B$20/Rides!$B$41*Rides!$B$35/Rides!$B$41*(Fares!$C$20+Fares!$C$35-INDEX(Fares!$C$2:$C$40,MIN(38,MAX(0,ROUNDUP(ROUND(Fares!$B$20+Fares!$B$35-3.2,1)-0.000000001,0)))+1))</f>
        <v/>
      </c>
      <c r="AJ22">
        <f>Rides!$B$20/Rides!$B$41*Rides!$B$36/Rides!$B$41*(Fares!$C$20+Fares!$C$36-INDEX(Fares!$C$2:$C$40,MIN(38,MAX(0,ROUNDUP(ROUND(Fares!$B$20+Fares!$B$36-3.2,1)-0.000000001,0)))+1))</f>
        <v/>
      </c>
      <c r="AK22">
        <f>Rides!$B$20/Rides!$B$41*Rides!$B$37/Rides!$B$41*(Fares!$C$20+Fares!$C$37-INDEX(Fares!$C$2:$C$40,MIN(38,MAX(0,ROUNDUP(ROUND(Fares!$B$20+Fares!$B$37-3.2,1)-0.000000001,0)))+1))</f>
        <v/>
      </c>
      <c r="AL22">
        <f>Rides!$B$20/Rides!$B$41*Rides!$B$38/Rides!$B$41*(Fares!$C$20+Fares!$C$38-INDEX(Fares!$C$2:$C$40,MIN(38,MAX(0,ROUNDUP(ROUND(Fares!$B$20+Fares!$B$38-3.2,1)-0.000000001,0)))+1))</f>
        <v/>
      </c>
      <c r="AM22">
        <f>Rides!$B$20/Rides!$B$41*Rides!$B$39/Rides!$B$41*(Fares!$C$20+Fares!$C$39-INDEX(Fares!$C$2:$C$40,MIN(38,MAX(0,ROUNDUP(ROUND(Fares!$B$20+Fares!$B$39-3.2,1)-0.000000001,0)))+1))</f>
        <v/>
      </c>
      <c r="AN22">
        <f>Rides!$B$20/Rides!$B$41*Rides!$B$40/Rides!$B$41*(Fares!$C$20+Fares!$C$40-INDEX(Fares!$C$2:$C$40,MIN(38,MAX(0,ROUNDUP(ROUND(Fares!$B$20+Fares!$B$40-3.2,1)-0.000000001,0)))+1))</f>
        <v/>
      </c>
    </row>
    <row r="23">
      <c r="A23">
        <f>Fares!$B$21</f>
        <v/>
      </c>
      <c r="B23">
        <f>Rides!$B$21/Rides!$B$41*Rides!$B$2/Rides!$B$41*(Fares!$C$21+Fares!$C$2-INDEX(Fares!$C$2:$C$40,MIN(38,MAX(0,ROUNDUP(ROUND(Fares!$B$21+Fares!$B$2-3.2,1)-0.000000001,0)))+1))</f>
        <v/>
      </c>
      <c r="C23">
        <f>Rides!$B$21/Rides!$B$41*Rides!$B$3/Rides!$B$41*(Fares!$C$21+Fares!$C$3-INDEX(Fares!$C$2:$C$40,MIN(38,MAX(0,ROUNDUP(ROUND(Fares!$B$21+Fares!$B$3-3.2,1)-0.000000001,0)))+1))</f>
        <v/>
      </c>
      <c r="D23">
        <f>Rides!$B$21/Rides!$B$41*Rides!$B$4/Rides!$B$41*(Fares!$C$21+Fares!$C$4-INDEX(Fares!$C$2:$C$40,MIN(38,MAX(0,ROUNDUP(ROUND(Fares!$B$21+Fares!$B$4-3.2,1)-0.000000001,0)))+1))</f>
        <v/>
      </c>
      <c r="E23">
        <f>Rides!$B$21/Rides!$B$41*Rides!$B$5/Rides!$B$41*(Fares!$C$21+Fares!$C$5-INDEX(Fares!$C$2:$C$40,MIN(38,MAX(0,ROUNDUP(ROUND(Fares!$B$21+Fares!$B$5-3.2,1)-0.000000001,0)))+1))</f>
        <v/>
      </c>
      <c r="F23">
        <f>Rides!$B$21/Rides!$B$41*Rides!$B$6/Rides!$B$41*(Fares!$C$21+Fares!$C$6-INDEX(Fares!$C$2:$C$40,MIN(38,MAX(0,ROUNDUP(ROUND(Fares!$B$21+Fares!$B$6-3.2,1)-0.000000001,0)))+1))</f>
        <v/>
      </c>
      <c r="G23">
        <f>Rides!$B$21/Rides!$B$41*Rides!$B$7/Rides!$B$41*(Fares!$C$21+Fares!$C$7-INDEX(Fares!$C$2:$C$40,MIN(38,MAX(0,ROUNDUP(ROUND(Fares!$B$21+Fares!$B$7-3.2,1)-0.000000001,0)))+1))</f>
        <v/>
      </c>
      <c r="H23">
        <f>Rides!$B$21/Rides!$B$41*Rides!$B$8/Rides!$B$41*(Fares!$C$21+Fares!$C$8-INDEX(Fares!$C$2:$C$40,MIN(38,MAX(0,ROUNDUP(ROUND(Fares!$B$21+Fares!$B$8-3.2,1)-0.000000001,0)))+1))</f>
        <v/>
      </c>
      <c r="I23">
        <f>Rides!$B$21/Rides!$B$41*Rides!$B$9/Rides!$B$41*(Fares!$C$21+Fares!$C$9-INDEX(Fares!$C$2:$C$40,MIN(38,MAX(0,ROUNDUP(ROUND(Fares!$B$21+Fares!$B$9-3.2,1)-0.000000001,0)))+1))</f>
        <v/>
      </c>
      <c r="J23">
        <f>Rides!$B$21/Rides!$B$41*Rides!$B$10/Rides!$B$41*(Fares!$C$21+Fares!$C$10-INDEX(Fares!$C$2:$C$40,MIN(38,MAX(0,ROUNDUP(ROUND(Fares!$B$21+Fares!$B$10-3.2,1)-0.000000001,0)))+1))</f>
        <v/>
      </c>
      <c r="K23">
        <f>Rides!$B$21/Rides!$B$41*Rides!$B$11/Rides!$B$41*(Fares!$C$21+Fares!$C$11-INDEX(Fares!$C$2:$C$40,MIN(38,MAX(0,ROUNDUP(ROUND(Fares!$B$21+Fares!$B$11-3.2,1)-0.000000001,0)))+1))</f>
        <v/>
      </c>
      <c r="L23">
        <f>Rides!$B$21/Rides!$B$41*Rides!$B$12/Rides!$B$41*(Fares!$C$21+Fares!$C$12-INDEX(Fares!$C$2:$C$40,MIN(38,MAX(0,ROUNDUP(ROUND(Fares!$B$21+Fares!$B$12-3.2,1)-0.000000001,0)))+1))</f>
        <v/>
      </c>
      <c r="M23">
        <f>Rides!$B$21/Rides!$B$41*Rides!$B$13/Rides!$B$41*(Fares!$C$21+Fares!$C$13-INDEX(Fares!$C$2:$C$40,MIN(38,MAX(0,ROUNDUP(ROUND(Fares!$B$21+Fares!$B$13-3.2,1)-0.000000001,0)))+1))</f>
        <v/>
      </c>
      <c r="N23">
        <f>Rides!$B$21/Rides!$B$41*Rides!$B$14/Rides!$B$41*(Fares!$C$21+Fares!$C$14-INDEX(Fares!$C$2:$C$40,MIN(38,MAX(0,ROUNDUP(ROUND(Fares!$B$21+Fares!$B$14-3.2,1)-0.000000001,0)))+1))</f>
        <v/>
      </c>
      <c r="O23">
        <f>Rides!$B$21/Rides!$B$41*Rides!$B$15/Rides!$B$41*(Fares!$C$21+Fares!$C$15-INDEX(Fares!$C$2:$C$40,MIN(38,MAX(0,ROUNDUP(ROUND(Fares!$B$21+Fares!$B$15-3.2,1)-0.000000001,0)))+1))</f>
        <v/>
      </c>
      <c r="P23">
        <f>Rides!$B$21/Rides!$B$41*Rides!$B$16/Rides!$B$41*(Fares!$C$21+Fares!$C$16-INDEX(Fares!$C$2:$C$40,MIN(38,MAX(0,ROUNDUP(ROUND(Fares!$B$21+Fares!$B$16-3.2,1)-0.000000001,0)))+1))</f>
        <v/>
      </c>
      <c r="Q23">
        <f>Rides!$B$21/Rides!$B$41*Rides!$B$17/Rides!$B$41*(Fares!$C$21+Fares!$C$17-INDEX(Fares!$C$2:$C$40,MIN(38,MAX(0,ROUNDUP(ROUND(Fares!$B$21+Fares!$B$17-3.2,1)-0.000000001,0)))+1))</f>
        <v/>
      </c>
      <c r="R23">
        <f>Rides!$B$21/Rides!$B$41*Rides!$B$18/Rides!$B$41*(Fares!$C$21+Fares!$C$18-INDEX(Fares!$C$2:$C$40,MIN(38,MAX(0,ROUNDUP(ROUND(Fares!$B$21+Fares!$B$18-3.2,1)-0.000000001,0)))+1))</f>
        <v/>
      </c>
      <c r="S23">
        <f>Rides!$B$21/Rides!$B$41*Rides!$B$19/Rides!$B$41*(Fares!$C$21+Fares!$C$19-INDEX(Fares!$C$2:$C$40,MIN(38,MAX(0,ROUNDUP(ROUND(Fares!$B$21+Fares!$B$19-3.2,1)-0.000000001,0)))+1))</f>
        <v/>
      </c>
      <c r="T23">
        <f>Rides!$B$21/Rides!$B$41*Rides!$B$20/Rides!$B$41*(Fares!$C$21+Fares!$C$20-INDEX(Fares!$C$2:$C$40,MIN(38,MAX(0,ROUNDUP(ROUND(Fares!$B$21+Fares!$B$20-3.2,1)-0.000000001,0)))+1))</f>
        <v/>
      </c>
      <c r="U23">
        <f>Rides!$B$21/Rides!$B$41*Rides!$B$21/Rides!$B$41*(Fares!$C$21+Fares!$C$21-INDEX(Fares!$C$2:$C$40,MIN(38,MAX(0,ROUNDUP(ROUND(Fares!$B$21+Fares!$B$21-3.2,1)-0.000000001,0)))+1))</f>
        <v/>
      </c>
      <c r="V23">
        <f>Rides!$B$21/Rides!$B$41*Rides!$B$22/Rides!$B$41*(Fares!$C$21+Fares!$C$22-INDEX(Fares!$C$2:$C$40,MIN(38,MAX(0,ROUNDUP(ROUND(Fares!$B$21+Fares!$B$22-3.2,1)-0.000000001,0)))+1))</f>
        <v/>
      </c>
      <c r="W23">
        <f>Rides!$B$21/Rides!$B$41*Rides!$B$23/Rides!$B$41*(Fares!$C$21+Fares!$C$23-INDEX(Fares!$C$2:$C$40,MIN(38,MAX(0,ROUNDUP(ROUND(Fares!$B$21+Fares!$B$23-3.2,1)-0.000000001,0)))+1))</f>
        <v/>
      </c>
      <c r="X23">
        <f>Rides!$B$21/Rides!$B$41*Rides!$B$24/Rides!$B$41*(Fares!$C$21+Fares!$C$24-INDEX(Fares!$C$2:$C$40,MIN(38,MAX(0,ROUNDUP(ROUND(Fares!$B$21+Fares!$B$24-3.2,1)-0.000000001,0)))+1))</f>
        <v/>
      </c>
      <c r="Y23">
        <f>Rides!$B$21/Rides!$B$41*Rides!$B$25/Rides!$B$41*(Fares!$C$21+Fares!$C$25-INDEX(Fares!$C$2:$C$40,MIN(38,MAX(0,ROUNDUP(ROUND(Fares!$B$21+Fares!$B$25-3.2,1)-0.000000001,0)))+1))</f>
        <v/>
      </c>
      <c r="Z23">
        <f>Rides!$B$21/Rides!$B$41*Rides!$B$26/Rides!$B$41*(Fares!$C$21+Fares!$C$26-INDEX(Fares!$C$2:$C$40,MIN(38,MAX(0,ROUNDUP(ROUND(Fares!$B$21+Fares!$B$26-3.2,1)-0.000000001,0)))+1))</f>
        <v/>
      </c>
      <c r="AA23">
        <f>Rides!$B$21/Rides!$B$41*Rides!$B$27/Rides!$B$41*(Fares!$C$21+Fares!$C$27-INDEX(Fares!$C$2:$C$40,MIN(38,MAX(0,ROUNDUP(ROUND(Fares!$B$21+Fares!$B$27-3.2,1)-0.000000001,0)))+1))</f>
        <v/>
      </c>
      <c r="AB23">
        <f>Rides!$B$21/Rides!$B$41*Rides!$B$28/Rides!$B$41*(Fares!$C$21+Fares!$C$28-INDEX(Fares!$C$2:$C$40,MIN(38,MAX(0,ROUNDUP(ROUND(Fares!$B$21+Fares!$B$28-3.2,1)-0.000000001,0)))+1))</f>
        <v/>
      </c>
      <c r="AC23">
        <f>Rides!$B$21/Rides!$B$41*Rides!$B$29/Rides!$B$41*(Fares!$C$21+Fares!$C$29-INDEX(Fares!$C$2:$C$40,MIN(38,MAX(0,ROUNDUP(ROUND(Fares!$B$21+Fares!$B$29-3.2,1)-0.000000001,0)))+1))</f>
        <v/>
      </c>
      <c r="AD23">
        <f>Rides!$B$21/Rides!$B$41*Rides!$B$30/Rides!$B$41*(Fares!$C$21+Fares!$C$30-INDEX(Fares!$C$2:$C$40,MIN(38,MAX(0,ROUNDUP(ROUND(Fares!$B$21+Fares!$B$30-3.2,1)-0.000000001,0)))+1))</f>
        <v/>
      </c>
      <c r="AE23">
        <f>Rides!$B$21/Rides!$B$41*Rides!$B$31/Rides!$B$41*(Fares!$C$21+Fares!$C$31-INDEX(Fares!$C$2:$C$40,MIN(38,MAX(0,ROUNDUP(ROUND(Fares!$B$21+Fares!$B$31-3.2,1)-0.000000001,0)))+1))</f>
        <v/>
      </c>
      <c r="AF23">
        <f>Rides!$B$21/Rides!$B$41*Rides!$B$32/Rides!$B$41*(Fares!$C$21+Fares!$C$32-INDEX(Fares!$C$2:$C$40,MIN(38,MAX(0,ROUNDUP(ROUND(Fares!$B$21+Fares!$B$32-3.2,1)-0.000000001,0)))+1))</f>
        <v/>
      </c>
      <c r="AG23">
        <f>Rides!$B$21/Rides!$B$41*Rides!$B$33/Rides!$B$41*(Fares!$C$21+Fares!$C$33-INDEX(Fares!$C$2:$C$40,MIN(38,MAX(0,ROUNDUP(ROUND(Fares!$B$21+Fares!$B$33-3.2,1)-0.000000001,0)))+1))</f>
        <v/>
      </c>
      <c r="AH23">
        <f>Rides!$B$21/Rides!$B$41*Rides!$B$34/Rides!$B$41*(Fares!$C$21+Fares!$C$34-INDEX(Fares!$C$2:$C$40,MIN(38,MAX(0,ROUNDUP(ROUND(Fares!$B$21+Fares!$B$34-3.2,1)-0.000000001,0)))+1))</f>
        <v/>
      </c>
      <c r="AI23">
        <f>Rides!$B$21/Rides!$B$41*Rides!$B$35/Rides!$B$41*(Fares!$C$21+Fares!$C$35-INDEX(Fares!$C$2:$C$40,MIN(38,MAX(0,ROUNDUP(ROUND(Fares!$B$21+Fares!$B$35-3.2,1)-0.000000001,0)))+1))</f>
        <v/>
      </c>
      <c r="AJ23">
        <f>Rides!$B$21/Rides!$B$41*Rides!$B$36/Rides!$B$41*(Fares!$C$21+Fares!$C$36-INDEX(Fares!$C$2:$C$40,MIN(38,MAX(0,ROUNDUP(ROUND(Fares!$B$21+Fares!$B$36-3.2,1)-0.000000001,0)))+1))</f>
        <v/>
      </c>
      <c r="AK23">
        <f>Rides!$B$21/Rides!$B$41*Rides!$B$37/Rides!$B$41*(Fares!$C$21+Fares!$C$37-INDEX(Fares!$C$2:$C$40,MIN(38,MAX(0,ROUNDUP(ROUND(Fares!$B$21+Fares!$B$37-3.2,1)-0.000000001,0)))+1))</f>
        <v/>
      </c>
      <c r="AL23">
        <f>Rides!$B$21/Rides!$B$41*Rides!$B$38/Rides!$B$41*(Fares!$C$21+Fares!$C$38-INDEX(Fares!$C$2:$C$40,MIN(38,MAX(0,ROUNDUP(ROUND(Fares!$B$21+Fares!$B$38-3.2,1)-0.000000001,0)))+1))</f>
        <v/>
      </c>
      <c r="AM23">
        <f>Rides!$B$21/Rides!$B$41*Rides!$B$39/Rides!$B$41*(Fares!$C$21+Fares!$C$39-INDEX(Fares!$C$2:$C$40,MIN(38,MAX(0,ROUNDUP(ROUND(Fares!$B$21+Fares!$B$39-3.2,1)-0.000000001,0)))+1))</f>
        <v/>
      </c>
      <c r="AN23">
        <f>Rides!$B$21/Rides!$B$41*Rides!$B$40/Rides!$B$41*(Fares!$C$21+Fares!$C$40-INDEX(Fares!$C$2:$C$40,MIN(38,MAX(0,ROUNDUP(ROUND(Fares!$B$21+Fares!$B$40-3.2,1)-0.000000001,0)))+1))</f>
        <v/>
      </c>
    </row>
    <row r="24">
      <c r="A24">
        <f>Fares!$B$22</f>
        <v/>
      </c>
      <c r="B24">
        <f>Rides!$B$22/Rides!$B$41*Rides!$B$2/Rides!$B$41*(Fares!$C$22+Fares!$C$2-INDEX(Fares!$C$2:$C$40,MIN(38,MAX(0,ROUNDUP(ROUND(Fares!$B$22+Fares!$B$2-3.2,1)-0.000000001,0)))+1))</f>
        <v/>
      </c>
      <c r="C24">
        <f>Rides!$B$22/Rides!$B$41*Rides!$B$3/Rides!$B$41*(Fares!$C$22+Fares!$C$3-INDEX(Fares!$C$2:$C$40,MIN(38,MAX(0,ROUNDUP(ROUND(Fares!$B$22+Fares!$B$3-3.2,1)-0.000000001,0)))+1))</f>
        <v/>
      </c>
      <c r="D24">
        <f>Rides!$B$22/Rides!$B$41*Rides!$B$4/Rides!$B$41*(Fares!$C$22+Fares!$C$4-INDEX(Fares!$C$2:$C$40,MIN(38,MAX(0,ROUNDUP(ROUND(Fares!$B$22+Fares!$B$4-3.2,1)-0.000000001,0)))+1))</f>
        <v/>
      </c>
      <c r="E24">
        <f>Rides!$B$22/Rides!$B$41*Rides!$B$5/Rides!$B$41*(Fares!$C$22+Fares!$C$5-INDEX(Fares!$C$2:$C$40,MIN(38,MAX(0,ROUNDUP(ROUND(Fares!$B$22+Fares!$B$5-3.2,1)-0.000000001,0)))+1))</f>
        <v/>
      </c>
      <c r="F24">
        <f>Rides!$B$22/Rides!$B$41*Rides!$B$6/Rides!$B$41*(Fares!$C$22+Fares!$C$6-INDEX(Fares!$C$2:$C$40,MIN(38,MAX(0,ROUNDUP(ROUND(Fares!$B$22+Fares!$B$6-3.2,1)-0.000000001,0)))+1))</f>
        <v/>
      </c>
      <c r="G24">
        <f>Rides!$B$22/Rides!$B$41*Rides!$B$7/Rides!$B$41*(Fares!$C$22+Fares!$C$7-INDEX(Fares!$C$2:$C$40,MIN(38,MAX(0,ROUNDUP(ROUND(Fares!$B$22+Fares!$B$7-3.2,1)-0.000000001,0)))+1))</f>
        <v/>
      </c>
      <c r="H24">
        <f>Rides!$B$22/Rides!$B$41*Rides!$B$8/Rides!$B$41*(Fares!$C$22+Fares!$C$8-INDEX(Fares!$C$2:$C$40,MIN(38,MAX(0,ROUNDUP(ROUND(Fares!$B$22+Fares!$B$8-3.2,1)-0.000000001,0)))+1))</f>
        <v/>
      </c>
      <c r="I24">
        <f>Rides!$B$22/Rides!$B$41*Rides!$B$9/Rides!$B$41*(Fares!$C$22+Fares!$C$9-INDEX(Fares!$C$2:$C$40,MIN(38,MAX(0,ROUNDUP(ROUND(Fares!$B$22+Fares!$B$9-3.2,1)-0.000000001,0)))+1))</f>
        <v/>
      </c>
      <c r="J24">
        <f>Rides!$B$22/Rides!$B$41*Rides!$B$10/Rides!$B$41*(Fares!$C$22+Fares!$C$10-INDEX(Fares!$C$2:$C$40,MIN(38,MAX(0,ROUNDUP(ROUND(Fares!$B$22+Fares!$B$10-3.2,1)-0.000000001,0)))+1))</f>
        <v/>
      </c>
      <c r="K24">
        <f>Rides!$B$22/Rides!$B$41*Rides!$B$11/Rides!$B$41*(Fares!$C$22+Fares!$C$11-INDEX(Fares!$C$2:$C$40,MIN(38,MAX(0,ROUNDUP(ROUND(Fares!$B$22+Fares!$B$11-3.2,1)-0.000000001,0)))+1))</f>
        <v/>
      </c>
      <c r="L24">
        <f>Rides!$B$22/Rides!$B$41*Rides!$B$12/Rides!$B$41*(Fares!$C$22+Fares!$C$12-INDEX(Fares!$C$2:$C$40,MIN(38,MAX(0,ROUNDUP(ROUND(Fares!$B$22+Fares!$B$12-3.2,1)-0.000000001,0)))+1))</f>
        <v/>
      </c>
      <c r="M24">
        <f>Rides!$B$22/Rides!$B$41*Rides!$B$13/Rides!$B$41*(Fares!$C$22+Fares!$C$13-INDEX(Fares!$C$2:$C$40,MIN(38,MAX(0,ROUNDUP(ROUND(Fares!$B$22+Fares!$B$13-3.2,1)-0.000000001,0)))+1))</f>
        <v/>
      </c>
      <c r="N24">
        <f>Rides!$B$22/Rides!$B$41*Rides!$B$14/Rides!$B$41*(Fares!$C$22+Fares!$C$14-INDEX(Fares!$C$2:$C$40,MIN(38,MAX(0,ROUNDUP(ROUND(Fares!$B$22+Fares!$B$14-3.2,1)-0.000000001,0)))+1))</f>
        <v/>
      </c>
      <c r="O24">
        <f>Rides!$B$22/Rides!$B$41*Rides!$B$15/Rides!$B$41*(Fares!$C$22+Fares!$C$15-INDEX(Fares!$C$2:$C$40,MIN(38,MAX(0,ROUNDUP(ROUND(Fares!$B$22+Fares!$B$15-3.2,1)-0.000000001,0)))+1))</f>
        <v/>
      </c>
      <c r="P24">
        <f>Rides!$B$22/Rides!$B$41*Rides!$B$16/Rides!$B$41*(Fares!$C$22+Fares!$C$16-INDEX(Fares!$C$2:$C$40,MIN(38,MAX(0,ROUNDUP(ROUND(Fares!$B$22+Fares!$B$16-3.2,1)-0.000000001,0)))+1))</f>
        <v/>
      </c>
      <c r="Q24">
        <f>Rides!$B$22/Rides!$B$41*Rides!$B$17/Rides!$B$41*(Fares!$C$22+Fares!$C$17-INDEX(Fares!$C$2:$C$40,MIN(38,MAX(0,ROUNDUP(ROUND(Fares!$B$22+Fares!$B$17-3.2,1)-0.000000001,0)))+1))</f>
        <v/>
      </c>
      <c r="R24">
        <f>Rides!$B$22/Rides!$B$41*Rides!$B$18/Rides!$B$41*(Fares!$C$22+Fares!$C$18-INDEX(Fares!$C$2:$C$40,MIN(38,MAX(0,ROUNDUP(ROUND(Fares!$B$22+Fares!$B$18-3.2,1)-0.000000001,0)))+1))</f>
        <v/>
      </c>
      <c r="S24">
        <f>Rides!$B$22/Rides!$B$41*Rides!$B$19/Rides!$B$41*(Fares!$C$22+Fares!$C$19-INDEX(Fares!$C$2:$C$40,MIN(38,MAX(0,ROUNDUP(ROUND(Fares!$B$22+Fares!$B$19-3.2,1)-0.000000001,0)))+1))</f>
        <v/>
      </c>
      <c r="T24">
        <f>Rides!$B$22/Rides!$B$41*Rides!$B$20/Rides!$B$41*(Fares!$C$22+Fares!$C$20-INDEX(Fares!$C$2:$C$40,MIN(38,MAX(0,ROUNDUP(ROUND(Fares!$B$22+Fares!$B$20-3.2,1)-0.000000001,0)))+1))</f>
        <v/>
      </c>
      <c r="U24">
        <f>Rides!$B$22/Rides!$B$41*Rides!$B$21/Rides!$B$41*(Fares!$C$22+Fares!$C$21-INDEX(Fares!$C$2:$C$40,MIN(38,MAX(0,ROUNDUP(ROUND(Fares!$B$22+Fares!$B$21-3.2,1)-0.000000001,0)))+1))</f>
        <v/>
      </c>
      <c r="V24">
        <f>Rides!$B$22/Rides!$B$41*Rides!$B$22/Rides!$B$41*(Fares!$C$22+Fares!$C$22-INDEX(Fares!$C$2:$C$40,MIN(38,MAX(0,ROUNDUP(ROUND(Fares!$B$22+Fares!$B$22-3.2,1)-0.000000001,0)))+1))</f>
        <v/>
      </c>
      <c r="W24">
        <f>Rides!$B$22/Rides!$B$41*Rides!$B$23/Rides!$B$41*(Fares!$C$22+Fares!$C$23-INDEX(Fares!$C$2:$C$40,MIN(38,MAX(0,ROUNDUP(ROUND(Fares!$B$22+Fares!$B$23-3.2,1)-0.000000001,0)))+1))</f>
        <v/>
      </c>
      <c r="X24">
        <f>Rides!$B$22/Rides!$B$41*Rides!$B$24/Rides!$B$41*(Fares!$C$22+Fares!$C$24-INDEX(Fares!$C$2:$C$40,MIN(38,MAX(0,ROUNDUP(ROUND(Fares!$B$22+Fares!$B$24-3.2,1)-0.000000001,0)))+1))</f>
        <v/>
      </c>
      <c r="Y24">
        <f>Rides!$B$22/Rides!$B$41*Rides!$B$25/Rides!$B$41*(Fares!$C$22+Fares!$C$25-INDEX(Fares!$C$2:$C$40,MIN(38,MAX(0,ROUNDUP(ROUND(Fares!$B$22+Fares!$B$25-3.2,1)-0.000000001,0)))+1))</f>
        <v/>
      </c>
      <c r="Z24">
        <f>Rides!$B$22/Rides!$B$41*Rides!$B$26/Rides!$B$41*(Fares!$C$22+Fares!$C$26-INDEX(Fares!$C$2:$C$40,MIN(38,MAX(0,ROUNDUP(ROUND(Fares!$B$22+Fares!$B$26-3.2,1)-0.000000001,0)))+1))</f>
        <v/>
      </c>
      <c r="AA24">
        <f>Rides!$B$22/Rides!$B$41*Rides!$B$27/Rides!$B$41*(Fares!$C$22+Fares!$C$27-INDEX(Fares!$C$2:$C$40,MIN(38,MAX(0,ROUNDUP(ROUND(Fares!$B$22+Fares!$B$27-3.2,1)-0.000000001,0)))+1))</f>
        <v/>
      </c>
      <c r="AB24">
        <f>Rides!$B$22/Rides!$B$41*Rides!$B$28/Rides!$B$41*(Fares!$C$22+Fares!$C$28-INDEX(Fares!$C$2:$C$40,MIN(38,MAX(0,ROUNDUP(ROUND(Fares!$B$22+Fares!$B$28-3.2,1)-0.000000001,0)))+1))</f>
        <v/>
      </c>
      <c r="AC24">
        <f>Rides!$B$22/Rides!$B$41*Rides!$B$29/Rides!$B$41*(Fares!$C$22+Fares!$C$29-INDEX(Fares!$C$2:$C$40,MIN(38,MAX(0,ROUNDUP(ROUND(Fares!$B$22+Fares!$B$29-3.2,1)-0.000000001,0)))+1))</f>
        <v/>
      </c>
      <c r="AD24">
        <f>Rides!$B$22/Rides!$B$41*Rides!$B$30/Rides!$B$41*(Fares!$C$22+Fares!$C$30-INDEX(Fares!$C$2:$C$40,MIN(38,MAX(0,ROUNDUP(ROUND(Fares!$B$22+Fares!$B$30-3.2,1)-0.000000001,0)))+1))</f>
        <v/>
      </c>
      <c r="AE24">
        <f>Rides!$B$22/Rides!$B$41*Rides!$B$31/Rides!$B$41*(Fares!$C$22+Fares!$C$31-INDEX(Fares!$C$2:$C$40,MIN(38,MAX(0,ROUNDUP(ROUND(Fares!$B$22+Fares!$B$31-3.2,1)-0.000000001,0)))+1))</f>
        <v/>
      </c>
      <c r="AF24">
        <f>Rides!$B$22/Rides!$B$41*Rides!$B$32/Rides!$B$41*(Fares!$C$22+Fares!$C$32-INDEX(Fares!$C$2:$C$40,MIN(38,MAX(0,ROUNDUP(ROUND(Fares!$B$22+Fares!$B$32-3.2,1)-0.000000001,0)))+1))</f>
        <v/>
      </c>
      <c r="AG24">
        <f>Rides!$B$22/Rides!$B$41*Rides!$B$33/Rides!$B$41*(Fares!$C$22+Fares!$C$33-INDEX(Fares!$C$2:$C$40,MIN(38,MAX(0,ROUNDUP(ROUND(Fares!$B$22+Fares!$B$33-3.2,1)-0.000000001,0)))+1))</f>
        <v/>
      </c>
      <c r="AH24">
        <f>Rides!$B$22/Rides!$B$41*Rides!$B$34/Rides!$B$41*(Fares!$C$22+Fares!$C$34-INDEX(Fares!$C$2:$C$40,MIN(38,MAX(0,ROUNDUP(ROUND(Fares!$B$22+Fares!$B$34-3.2,1)-0.000000001,0)))+1))</f>
        <v/>
      </c>
      <c r="AI24">
        <f>Rides!$B$22/Rides!$B$41*Rides!$B$35/Rides!$B$41*(Fares!$C$22+Fares!$C$35-INDEX(Fares!$C$2:$C$40,MIN(38,MAX(0,ROUNDUP(ROUND(Fares!$B$22+Fares!$B$35-3.2,1)-0.000000001,0)))+1))</f>
        <v/>
      </c>
      <c r="AJ24">
        <f>Rides!$B$22/Rides!$B$41*Rides!$B$36/Rides!$B$41*(Fares!$C$22+Fares!$C$36-INDEX(Fares!$C$2:$C$40,MIN(38,MAX(0,ROUNDUP(ROUND(Fares!$B$22+Fares!$B$36-3.2,1)-0.000000001,0)))+1))</f>
        <v/>
      </c>
      <c r="AK24">
        <f>Rides!$B$22/Rides!$B$41*Rides!$B$37/Rides!$B$41*(Fares!$C$22+Fares!$C$37-INDEX(Fares!$C$2:$C$40,MIN(38,MAX(0,ROUNDUP(ROUND(Fares!$B$22+Fares!$B$37-3.2,1)-0.000000001,0)))+1))</f>
        <v/>
      </c>
      <c r="AL24">
        <f>Rides!$B$22/Rides!$B$41*Rides!$B$38/Rides!$B$41*(Fares!$C$22+Fares!$C$38-INDEX(Fares!$C$2:$C$40,MIN(38,MAX(0,ROUNDUP(ROUND(Fares!$B$22+Fares!$B$38-3.2,1)-0.000000001,0)))+1))</f>
        <v/>
      </c>
      <c r="AM24">
        <f>Rides!$B$22/Rides!$B$41*Rides!$B$39/Rides!$B$41*(Fares!$C$22+Fares!$C$39-INDEX(Fares!$C$2:$C$40,MIN(38,MAX(0,ROUNDUP(ROUND(Fares!$B$22+Fares!$B$39-3.2,1)-0.000000001,0)))+1))</f>
        <v/>
      </c>
      <c r="AN24">
        <f>Rides!$B$22/Rides!$B$41*Rides!$B$40/Rides!$B$41*(Fares!$C$22+Fares!$C$40-INDEX(Fares!$C$2:$C$40,MIN(38,MAX(0,ROUNDUP(ROUND(Fares!$B$22+Fares!$B$40-3.2,1)-0.000000001,0)))+1))</f>
        <v/>
      </c>
    </row>
    <row r="25">
      <c r="A25">
        <f>Fares!$B$23</f>
        <v/>
      </c>
      <c r="B25">
        <f>Rides!$B$23/Rides!$B$41*Rides!$B$2/Rides!$B$41*(Fares!$C$23+Fares!$C$2-INDEX(Fares!$C$2:$C$40,MIN(38,MAX(0,ROUNDUP(ROUND(Fares!$B$23+Fares!$B$2-3.2,1)-0.000000001,0)))+1))</f>
        <v/>
      </c>
      <c r="C25">
        <f>Rides!$B$23/Rides!$B$41*Rides!$B$3/Rides!$B$41*(Fares!$C$23+Fares!$C$3-INDEX(Fares!$C$2:$C$40,MIN(38,MAX(0,ROUNDUP(ROUND(Fares!$B$23+Fares!$B$3-3.2,1)-0.000000001,0)))+1))</f>
        <v/>
      </c>
      <c r="D25">
        <f>Rides!$B$23/Rides!$B$41*Rides!$B$4/Rides!$B$41*(Fares!$C$23+Fares!$C$4-INDEX(Fares!$C$2:$C$40,MIN(38,MAX(0,ROUNDUP(ROUND(Fares!$B$23+Fares!$B$4-3.2,1)-0.000000001,0)))+1))</f>
        <v/>
      </c>
      <c r="E25">
        <f>Rides!$B$23/Rides!$B$41*Rides!$B$5/Rides!$B$41*(Fares!$C$23+Fares!$C$5-INDEX(Fares!$C$2:$C$40,MIN(38,MAX(0,ROUNDUP(ROUND(Fares!$B$23+Fares!$B$5-3.2,1)-0.000000001,0)))+1))</f>
        <v/>
      </c>
      <c r="F25">
        <f>Rides!$B$23/Rides!$B$41*Rides!$B$6/Rides!$B$41*(Fares!$C$23+Fares!$C$6-INDEX(Fares!$C$2:$C$40,MIN(38,MAX(0,ROUNDUP(ROUND(Fares!$B$23+Fares!$B$6-3.2,1)-0.000000001,0)))+1))</f>
        <v/>
      </c>
      <c r="G25">
        <f>Rides!$B$23/Rides!$B$41*Rides!$B$7/Rides!$B$41*(Fares!$C$23+Fares!$C$7-INDEX(Fares!$C$2:$C$40,MIN(38,MAX(0,ROUNDUP(ROUND(Fares!$B$23+Fares!$B$7-3.2,1)-0.000000001,0)))+1))</f>
        <v/>
      </c>
      <c r="H25">
        <f>Rides!$B$23/Rides!$B$41*Rides!$B$8/Rides!$B$41*(Fares!$C$23+Fares!$C$8-INDEX(Fares!$C$2:$C$40,MIN(38,MAX(0,ROUNDUP(ROUND(Fares!$B$23+Fares!$B$8-3.2,1)-0.000000001,0)))+1))</f>
        <v/>
      </c>
      <c r="I25">
        <f>Rides!$B$23/Rides!$B$41*Rides!$B$9/Rides!$B$41*(Fares!$C$23+Fares!$C$9-INDEX(Fares!$C$2:$C$40,MIN(38,MAX(0,ROUNDUP(ROUND(Fares!$B$23+Fares!$B$9-3.2,1)-0.000000001,0)))+1))</f>
        <v/>
      </c>
      <c r="J25">
        <f>Rides!$B$23/Rides!$B$41*Rides!$B$10/Rides!$B$41*(Fares!$C$23+Fares!$C$10-INDEX(Fares!$C$2:$C$40,MIN(38,MAX(0,ROUNDUP(ROUND(Fares!$B$23+Fares!$B$10-3.2,1)-0.000000001,0)))+1))</f>
        <v/>
      </c>
      <c r="K25">
        <f>Rides!$B$23/Rides!$B$41*Rides!$B$11/Rides!$B$41*(Fares!$C$23+Fares!$C$11-INDEX(Fares!$C$2:$C$40,MIN(38,MAX(0,ROUNDUP(ROUND(Fares!$B$23+Fares!$B$11-3.2,1)-0.000000001,0)))+1))</f>
        <v/>
      </c>
      <c r="L25">
        <f>Rides!$B$23/Rides!$B$41*Rides!$B$12/Rides!$B$41*(Fares!$C$23+Fares!$C$12-INDEX(Fares!$C$2:$C$40,MIN(38,MAX(0,ROUNDUP(ROUND(Fares!$B$23+Fares!$B$12-3.2,1)-0.000000001,0)))+1))</f>
        <v/>
      </c>
      <c r="M25">
        <f>Rides!$B$23/Rides!$B$41*Rides!$B$13/Rides!$B$41*(Fares!$C$23+Fares!$C$13-INDEX(Fares!$C$2:$C$40,MIN(38,MAX(0,ROUNDUP(ROUND(Fares!$B$23+Fares!$B$13-3.2,1)-0.000000001,0)))+1))</f>
        <v/>
      </c>
      <c r="N25">
        <f>Rides!$B$23/Rides!$B$41*Rides!$B$14/Rides!$B$41*(Fares!$C$23+Fares!$C$14-INDEX(Fares!$C$2:$C$40,MIN(38,MAX(0,ROUNDUP(ROUND(Fares!$B$23+Fares!$B$14-3.2,1)-0.000000001,0)))+1))</f>
        <v/>
      </c>
      <c r="O25">
        <f>Rides!$B$23/Rides!$B$41*Rides!$B$15/Rides!$B$41*(Fares!$C$23+Fares!$C$15-INDEX(Fares!$C$2:$C$40,MIN(38,MAX(0,ROUNDUP(ROUND(Fares!$B$23+Fares!$B$15-3.2,1)-0.000000001,0)))+1))</f>
        <v/>
      </c>
      <c r="P25">
        <f>Rides!$B$23/Rides!$B$41*Rides!$B$16/Rides!$B$41*(Fares!$C$23+Fares!$C$16-INDEX(Fares!$C$2:$C$40,MIN(38,MAX(0,ROUNDUP(ROUND(Fares!$B$23+Fares!$B$16-3.2,1)-0.000000001,0)))+1))</f>
        <v/>
      </c>
      <c r="Q25">
        <f>Rides!$B$23/Rides!$B$41*Rides!$B$17/Rides!$B$41*(Fares!$C$23+Fares!$C$17-INDEX(Fares!$C$2:$C$40,MIN(38,MAX(0,ROUNDUP(ROUND(Fares!$B$23+Fares!$B$17-3.2,1)-0.000000001,0)))+1))</f>
        <v/>
      </c>
      <c r="R25">
        <f>Rides!$B$23/Rides!$B$41*Rides!$B$18/Rides!$B$41*(Fares!$C$23+Fares!$C$18-INDEX(Fares!$C$2:$C$40,MIN(38,MAX(0,ROUNDUP(ROUND(Fares!$B$23+Fares!$B$18-3.2,1)-0.000000001,0)))+1))</f>
        <v/>
      </c>
      <c r="S25">
        <f>Rides!$B$23/Rides!$B$41*Rides!$B$19/Rides!$B$41*(Fares!$C$23+Fares!$C$19-INDEX(Fares!$C$2:$C$40,MIN(38,MAX(0,ROUNDUP(ROUND(Fares!$B$23+Fares!$B$19-3.2,1)-0.000000001,0)))+1))</f>
        <v/>
      </c>
      <c r="T25">
        <f>Rides!$B$23/Rides!$B$41*Rides!$B$20/Rides!$B$41*(Fares!$C$23+Fares!$C$20-INDEX(Fares!$C$2:$C$40,MIN(38,MAX(0,ROUNDUP(ROUND(Fares!$B$23+Fares!$B$20-3.2,1)-0.000000001,0)))+1))</f>
        <v/>
      </c>
      <c r="U25">
        <f>Rides!$B$23/Rides!$B$41*Rides!$B$21/Rides!$B$41*(Fares!$C$23+Fares!$C$21-INDEX(Fares!$C$2:$C$40,MIN(38,MAX(0,ROUNDUP(ROUND(Fares!$B$23+Fares!$B$21-3.2,1)-0.000000001,0)))+1))</f>
        <v/>
      </c>
      <c r="V25">
        <f>Rides!$B$23/Rides!$B$41*Rides!$B$22/Rides!$B$41*(Fares!$C$23+Fares!$C$22-INDEX(Fares!$C$2:$C$40,MIN(38,MAX(0,ROUNDUP(ROUND(Fares!$B$23+Fares!$B$22-3.2,1)-0.000000001,0)))+1))</f>
        <v/>
      </c>
      <c r="W25">
        <f>Rides!$B$23/Rides!$B$41*Rides!$B$23/Rides!$B$41*(Fares!$C$23+Fares!$C$23-INDEX(Fares!$C$2:$C$40,MIN(38,MAX(0,ROUNDUP(ROUND(Fares!$B$23+Fares!$B$23-3.2,1)-0.000000001,0)))+1))</f>
        <v/>
      </c>
      <c r="X25">
        <f>Rides!$B$23/Rides!$B$41*Rides!$B$24/Rides!$B$41*(Fares!$C$23+Fares!$C$24-INDEX(Fares!$C$2:$C$40,MIN(38,MAX(0,ROUNDUP(ROUND(Fares!$B$23+Fares!$B$24-3.2,1)-0.000000001,0)))+1))</f>
        <v/>
      </c>
      <c r="Y25">
        <f>Rides!$B$23/Rides!$B$41*Rides!$B$25/Rides!$B$41*(Fares!$C$23+Fares!$C$25-INDEX(Fares!$C$2:$C$40,MIN(38,MAX(0,ROUNDUP(ROUND(Fares!$B$23+Fares!$B$25-3.2,1)-0.000000001,0)))+1))</f>
        <v/>
      </c>
      <c r="Z25">
        <f>Rides!$B$23/Rides!$B$41*Rides!$B$26/Rides!$B$41*(Fares!$C$23+Fares!$C$26-INDEX(Fares!$C$2:$C$40,MIN(38,MAX(0,ROUNDUP(ROUND(Fares!$B$23+Fares!$B$26-3.2,1)-0.000000001,0)))+1))</f>
        <v/>
      </c>
      <c r="AA25">
        <f>Rides!$B$23/Rides!$B$41*Rides!$B$27/Rides!$B$41*(Fares!$C$23+Fares!$C$27-INDEX(Fares!$C$2:$C$40,MIN(38,MAX(0,ROUNDUP(ROUND(Fares!$B$23+Fares!$B$27-3.2,1)-0.000000001,0)))+1))</f>
        <v/>
      </c>
      <c r="AB25">
        <f>Rides!$B$23/Rides!$B$41*Rides!$B$28/Rides!$B$41*(Fares!$C$23+Fares!$C$28-INDEX(Fares!$C$2:$C$40,MIN(38,MAX(0,ROUNDUP(ROUND(Fares!$B$23+Fares!$B$28-3.2,1)-0.000000001,0)))+1))</f>
        <v/>
      </c>
      <c r="AC25">
        <f>Rides!$B$23/Rides!$B$41*Rides!$B$29/Rides!$B$41*(Fares!$C$23+Fares!$C$29-INDEX(Fares!$C$2:$C$40,MIN(38,MAX(0,ROUNDUP(ROUND(Fares!$B$23+Fares!$B$29-3.2,1)-0.000000001,0)))+1))</f>
        <v/>
      </c>
      <c r="AD25">
        <f>Rides!$B$23/Rides!$B$41*Rides!$B$30/Rides!$B$41*(Fares!$C$23+Fares!$C$30-INDEX(Fares!$C$2:$C$40,MIN(38,MAX(0,ROUNDUP(ROUND(Fares!$B$23+Fares!$B$30-3.2,1)-0.000000001,0)))+1))</f>
        <v/>
      </c>
      <c r="AE25">
        <f>Rides!$B$23/Rides!$B$41*Rides!$B$31/Rides!$B$41*(Fares!$C$23+Fares!$C$31-INDEX(Fares!$C$2:$C$40,MIN(38,MAX(0,ROUNDUP(ROUND(Fares!$B$23+Fares!$B$31-3.2,1)-0.000000001,0)))+1))</f>
        <v/>
      </c>
      <c r="AF25">
        <f>Rides!$B$23/Rides!$B$41*Rides!$B$32/Rides!$B$41*(Fares!$C$23+Fares!$C$32-INDEX(Fares!$C$2:$C$40,MIN(38,MAX(0,ROUNDUP(ROUND(Fares!$B$23+Fares!$B$32-3.2,1)-0.000000001,0)))+1))</f>
        <v/>
      </c>
      <c r="AG25">
        <f>Rides!$B$23/Rides!$B$41*Rides!$B$33/Rides!$B$41*(Fares!$C$23+Fares!$C$33-INDEX(Fares!$C$2:$C$40,MIN(38,MAX(0,ROUNDUP(ROUND(Fares!$B$23+Fares!$B$33-3.2,1)-0.000000001,0)))+1))</f>
        <v/>
      </c>
      <c r="AH25">
        <f>Rides!$B$23/Rides!$B$41*Rides!$B$34/Rides!$B$41*(Fares!$C$23+Fares!$C$34-INDEX(Fares!$C$2:$C$40,MIN(38,MAX(0,ROUNDUP(ROUND(Fares!$B$23+Fares!$B$34-3.2,1)-0.000000001,0)))+1))</f>
        <v/>
      </c>
      <c r="AI25">
        <f>Rides!$B$23/Rides!$B$41*Rides!$B$35/Rides!$B$41*(Fares!$C$23+Fares!$C$35-INDEX(Fares!$C$2:$C$40,MIN(38,MAX(0,ROUNDUP(ROUND(Fares!$B$23+Fares!$B$35-3.2,1)-0.000000001,0)))+1))</f>
        <v/>
      </c>
      <c r="AJ25">
        <f>Rides!$B$23/Rides!$B$41*Rides!$B$36/Rides!$B$41*(Fares!$C$23+Fares!$C$36-INDEX(Fares!$C$2:$C$40,MIN(38,MAX(0,ROUNDUP(ROUND(Fares!$B$23+Fares!$B$36-3.2,1)-0.000000001,0)))+1))</f>
        <v/>
      </c>
      <c r="AK25">
        <f>Rides!$B$23/Rides!$B$41*Rides!$B$37/Rides!$B$41*(Fares!$C$23+Fares!$C$37-INDEX(Fares!$C$2:$C$40,MIN(38,MAX(0,ROUNDUP(ROUND(Fares!$B$23+Fares!$B$37-3.2,1)-0.000000001,0)))+1))</f>
        <v/>
      </c>
      <c r="AL25">
        <f>Rides!$B$23/Rides!$B$41*Rides!$B$38/Rides!$B$41*(Fares!$C$23+Fares!$C$38-INDEX(Fares!$C$2:$C$40,MIN(38,MAX(0,ROUNDUP(ROUND(Fares!$B$23+Fares!$B$38-3.2,1)-0.000000001,0)))+1))</f>
        <v/>
      </c>
      <c r="AM25">
        <f>Rides!$B$23/Rides!$B$41*Rides!$B$39/Rides!$B$41*(Fares!$C$23+Fares!$C$39-INDEX(Fares!$C$2:$C$40,MIN(38,MAX(0,ROUNDUP(ROUND(Fares!$B$23+Fares!$B$39-3.2,1)-0.000000001,0)))+1))</f>
        <v/>
      </c>
      <c r="AN25">
        <f>Rides!$B$23/Rides!$B$41*Rides!$B$40/Rides!$B$41*(Fares!$C$23+Fares!$C$40-INDEX(Fares!$C$2:$C$40,MIN(38,MAX(0,ROUNDUP(ROUND(Fares!$B$23+Fares!$B$40-3.2,1)-0.000000001,0)))+1))</f>
        <v/>
      </c>
    </row>
    <row r="26">
      <c r="A26">
        <f>Fares!$B$24</f>
        <v/>
      </c>
      <c r="B26">
        <f>Rides!$B$24/Rides!$B$41*Rides!$B$2/Rides!$B$41*(Fares!$C$24+Fares!$C$2-INDEX(Fares!$C$2:$C$40,MIN(38,MAX(0,ROUNDUP(ROUND(Fares!$B$24+Fares!$B$2-3.2,1)-0.000000001,0)))+1))</f>
        <v/>
      </c>
      <c r="C26">
        <f>Rides!$B$24/Rides!$B$41*Rides!$B$3/Rides!$B$41*(Fares!$C$24+Fares!$C$3-INDEX(Fares!$C$2:$C$40,MIN(38,MAX(0,ROUNDUP(ROUND(Fares!$B$24+Fares!$B$3-3.2,1)-0.000000001,0)))+1))</f>
        <v/>
      </c>
      <c r="D26">
        <f>Rides!$B$24/Rides!$B$41*Rides!$B$4/Rides!$B$41*(Fares!$C$24+Fares!$C$4-INDEX(Fares!$C$2:$C$40,MIN(38,MAX(0,ROUNDUP(ROUND(Fares!$B$24+Fares!$B$4-3.2,1)-0.000000001,0)))+1))</f>
        <v/>
      </c>
      <c r="E26">
        <f>Rides!$B$24/Rides!$B$41*Rides!$B$5/Rides!$B$41*(Fares!$C$24+Fares!$C$5-INDEX(Fares!$C$2:$C$40,MIN(38,MAX(0,ROUNDUP(ROUND(Fares!$B$24+Fares!$B$5-3.2,1)-0.000000001,0)))+1))</f>
        <v/>
      </c>
      <c r="F26">
        <f>Rides!$B$24/Rides!$B$41*Rides!$B$6/Rides!$B$41*(Fares!$C$24+Fares!$C$6-INDEX(Fares!$C$2:$C$40,MIN(38,MAX(0,ROUNDUP(ROUND(Fares!$B$24+Fares!$B$6-3.2,1)-0.000000001,0)))+1))</f>
        <v/>
      </c>
      <c r="G26">
        <f>Rides!$B$24/Rides!$B$41*Rides!$B$7/Rides!$B$41*(Fares!$C$24+Fares!$C$7-INDEX(Fares!$C$2:$C$40,MIN(38,MAX(0,ROUNDUP(ROUND(Fares!$B$24+Fares!$B$7-3.2,1)-0.000000001,0)))+1))</f>
        <v/>
      </c>
      <c r="H26">
        <f>Rides!$B$24/Rides!$B$41*Rides!$B$8/Rides!$B$41*(Fares!$C$24+Fares!$C$8-INDEX(Fares!$C$2:$C$40,MIN(38,MAX(0,ROUNDUP(ROUND(Fares!$B$24+Fares!$B$8-3.2,1)-0.000000001,0)))+1))</f>
        <v/>
      </c>
      <c r="I26">
        <f>Rides!$B$24/Rides!$B$41*Rides!$B$9/Rides!$B$41*(Fares!$C$24+Fares!$C$9-INDEX(Fares!$C$2:$C$40,MIN(38,MAX(0,ROUNDUP(ROUND(Fares!$B$24+Fares!$B$9-3.2,1)-0.000000001,0)))+1))</f>
        <v/>
      </c>
      <c r="J26">
        <f>Rides!$B$24/Rides!$B$41*Rides!$B$10/Rides!$B$41*(Fares!$C$24+Fares!$C$10-INDEX(Fares!$C$2:$C$40,MIN(38,MAX(0,ROUNDUP(ROUND(Fares!$B$24+Fares!$B$10-3.2,1)-0.000000001,0)))+1))</f>
        <v/>
      </c>
      <c r="K26">
        <f>Rides!$B$24/Rides!$B$41*Rides!$B$11/Rides!$B$41*(Fares!$C$24+Fares!$C$11-INDEX(Fares!$C$2:$C$40,MIN(38,MAX(0,ROUNDUP(ROUND(Fares!$B$24+Fares!$B$11-3.2,1)-0.000000001,0)))+1))</f>
        <v/>
      </c>
      <c r="L26">
        <f>Rides!$B$24/Rides!$B$41*Rides!$B$12/Rides!$B$41*(Fares!$C$24+Fares!$C$12-INDEX(Fares!$C$2:$C$40,MIN(38,MAX(0,ROUNDUP(ROUND(Fares!$B$24+Fares!$B$12-3.2,1)-0.000000001,0)))+1))</f>
        <v/>
      </c>
      <c r="M26">
        <f>Rides!$B$24/Rides!$B$41*Rides!$B$13/Rides!$B$41*(Fares!$C$24+Fares!$C$13-INDEX(Fares!$C$2:$C$40,MIN(38,MAX(0,ROUNDUP(ROUND(Fares!$B$24+Fares!$B$13-3.2,1)-0.000000001,0)))+1))</f>
        <v/>
      </c>
      <c r="N26">
        <f>Rides!$B$24/Rides!$B$41*Rides!$B$14/Rides!$B$41*(Fares!$C$24+Fares!$C$14-INDEX(Fares!$C$2:$C$40,MIN(38,MAX(0,ROUNDUP(ROUND(Fares!$B$24+Fares!$B$14-3.2,1)-0.000000001,0)))+1))</f>
        <v/>
      </c>
      <c r="O26">
        <f>Rides!$B$24/Rides!$B$41*Rides!$B$15/Rides!$B$41*(Fares!$C$24+Fares!$C$15-INDEX(Fares!$C$2:$C$40,MIN(38,MAX(0,ROUNDUP(ROUND(Fares!$B$24+Fares!$B$15-3.2,1)-0.000000001,0)))+1))</f>
        <v/>
      </c>
      <c r="P26">
        <f>Rides!$B$24/Rides!$B$41*Rides!$B$16/Rides!$B$41*(Fares!$C$24+Fares!$C$16-INDEX(Fares!$C$2:$C$40,MIN(38,MAX(0,ROUNDUP(ROUND(Fares!$B$24+Fares!$B$16-3.2,1)-0.000000001,0)))+1))</f>
        <v/>
      </c>
      <c r="Q26">
        <f>Rides!$B$24/Rides!$B$41*Rides!$B$17/Rides!$B$41*(Fares!$C$24+Fares!$C$17-INDEX(Fares!$C$2:$C$40,MIN(38,MAX(0,ROUNDUP(ROUND(Fares!$B$24+Fares!$B$17-3.2,1)-0.000000001,0)))+1))</f>
        <v/>
      </c>
      <c r="R26">
        <f>Rides!$B$24/Rides!$B$41*Rides!$B$18/Rides!$B$41*(Fares!$C$24+Fares!$C$18-INDEX(Fares!$C$2:$C$40,MIN(38,MAX(0,ROUNDUP(ROUND(Fares!$B$24+Fares!$B$18-3.2,1)-0.000000001,0)))+1))</f>
        <v/>
      </c>
      <c r="S26">
        <f>Rides!$B$24/Rides!$B$41*Rides!$B$19/Rides!$B$41*(Fares!$C$24+Fares!$C$19-INDEX(Fares!$C$2:$C$40,MIN(38,MAX(0,ROUNDUP(ROUND(Fares!$B$24+Fares!$B$19-3.2,1)-0.000000001,0)))+1))</f>
        <v/>
      </c>
      <c r="T26">
        <f>Rides!$B$24/Rides!$B$41*Rides!$B$20/Rides!$B$41*(Fares!$C$24+Fares!$C$20-INDEX(Fares!$C$2:$C$40,MIN(38,MAX(0,ROUNDUP(ROUND(Fares!$B$24+Fares!$B$20-3.2,1)-0.000000001,0)))+1))</f>
        <v/>
      </c>
      <c r="U26">
        <f>Rides!$B$24/Rides!$B$41*Rides!$B$21/Rides!$B$41*(Fares!$C$24+Fares!$C$21-INDEX(Fares!$C$2:$C$40,MIN(38,MAX(0,ROUNDUP(ROUND(Fares!$B$24+Fares!$B$21-3.2,1)-0.000000001,0)))+1))</f>
        <v/>
      </c>
      <c r="V26">
        <f>Rides!$B$24/Rides!$B$41*Rides!$B$22/Rides!$B$41*(Fares!$C$24+Fares!$C$22-INDEX(Fares!$C$2:$C$40,MIN(38,MAX(0,ROUNDUP(ROUND(Fares!$B$24+Fares!$B$22-3.2,1)-0.000000001,0)))+1))</f>
        <v/>
      </c>
      <c r="W26">
        <f>Rides!$B$24/Rides!$B$41*Rides!$B$23/Rides!$B$41*(Fares!$C$24+Fares!$C$23-INDEX(Fares!$C$2:$C$40,MIN(38,MAX(0,ROUNDUP(ROUND(Fares!$B$24+Fares!$B$23-3.2,1)-0.000000001,0)))+1))</f>
        <v/>
      </c>
      <c r="X26">
        <f>Rides!$B$24/Rides!$B$41*Rides!$B$24/Rides!$B$41*(Fares!$C$24+Fares!$C$24-INDEX(Fares!$C$2:$C$40,MIN(38,MAX(0,ROUNDUP(ROUND(Fares!$B$24+Fares!$B$24-3.2,1)-0.000000001,0)))+1))</f>
        <v/>
      </c>
      <c r="Y26">
        <f>Rides!$B$24/Rides!$B$41*Rides!$B$25/Rides!$B$41*(Fares!$C$24+Fares!$C$25-INDEX(Fares!$C$2:$C$40,MIN(38,MAX(0,ROUNDUP(ROUND(Fares!$B$24+Fares!$B$25-3.2,1)-0.000000001,0)))+1))</f>
        <v/>
      </c>
      <c r="Z26">
        <f>Rides!$B$24/Rides!$B$41*Rides!$B$26/Rides!$B$41*(Fares!$C$24+Fares!$C$26-INDEX(Fares!$C$2:$C$40,MIN(38,MAX(0,ROUNDUP(ROUND(Fares!$B$24+Fares!$B$26-3.2,1)-0.000000001,0)))+1))</f>
        <v/>
      </c>
      <c r="AA26">
        <f>Rides!$B$24/Rides!$B$41*Rides!$B$27/Rides!$B$41*(Fares!$C$24+Fares!$C$27-INDEX(Fares!$C$2:$C$40,MIN(38,MAX(0,ROUNDUP(ROUND(Fares!$B$24+Fares!$B$27-3.2,1)-0.000000001,0)))+1))</f>
        <v/>
      </c>
      <c r="AB26">
        <f>Rides!$B$24/Rides!$B$41*Rides!$B$28/Rides!$B$41*(Fares!$C$24+Fares!$C$28-INDEX(Fares!$C$2:$C$40,MIN(38,MAX(0,ROUNDUP(ROUND(Fares!$B$24+Fares!$B$28-3.2,1)-0.000000001,0)))+1))</f>
        <v/>
      </c>
      <c r="AC26">
        <f>Rides!$B$24/Rides!$B$41*Rides!$B$29/Rides!$B$41*(Fares!$C$24+Fares!$C$29-INDEX(Fares!$C$2:$C$40,MIN(38,MAX(0,ROUNDUP(ROUND(Fares!$B$24+Fares!$B$29-3.2,1)-0.000000001,0)))+1))</f>
        <v/>
      </c>
      <c r="AD26">
        <f>Rides!$B$24/Rides!$B$41*Rides!$B$30/Rides!$B$41*(Fares!$C$24+Fares!$C$30-INDEX(Fares!$C$2:$C$40,MIN(38,MAX(0,ROUNDUP(ROUND(Fares!$B$24+Fares!$B$30-3.2,1)-0.000000001,0)))+1))</f>
        <v/>
      </c>
      <c r="AE26">
        <f>Rides!$B$24/Rides!$B$41*Rides!$B$31/Rides!$B$41*(Fares!$C$24+Fares!$C$31-INDEX(Fares!$C$2:$C$40,MIN(38,MAX(0,ROUNDUP(ROUND(Fares!$B$24+Fares!$B$31-3.2,1)-0.000000001,0)))+1))</f>
        <v/>
      </c>
      <c r="AF26">
        <f>Rides!$B$24/Rides!$B$41*Rides!$B$32/Rides!$B$41*(Fares!$C$24+Fares!$C$32-INDEX(Fares!$C$2:$C$40,MIN(38,MAX(0,ROUNDUP(ROUND(Fares!$B$24+Fares!$B$32-3.2,1)-0.000000001,0)))+1))</f>
        <v/>
      </c>
      <c r="AG26">
        <f>Rides!$B$24/Rides!$B$41*Rides!$B$33/Rides!$B$41*(Fares!$C$24+Fares!$C$33-INDEX(Fares!$C$2:$C$40,MIN(38,MAX(0,ROUNDUP(ROUND(Fares!$B$24+Fares!$B$33-3.2,1)-0.000000001,0)))+1))</f>
        <v/>
      </c>
      <c r="AH26">
        <f>Rides!$B$24/Rides!$B$41*Rides!$B$34/Rides!$B$41*(Fares!$C$24+Fares!$C$34-INDEX(Fares!$C$2:$C$40,MIN(38,MAX(0,ROUNDUP(ROUND(Fares!$B$24+Fares!$B$34-3.2,1)-0.000000001,0)))+1))</f>
        <v/>
      </c>
      <c r="AI26">
        <f>Rides!$B$24/Rides!$B$41*Rides!$B$35/Rides!$B$41*(Fares!$C$24+Fares!$C$35-INDEX(Fares!$C$2:$C$40,MIN(38,MAX(0,ROUNDUP(ROUND(Fares!$B$24+Fares!$B$35-3.2,1)-0.000000001,0)))+1))</f>
        <v/>
      </c>
      <c r="AJ26">
        <f>Rides!$B$24/Rides!$B$41*Rides!$B$36/Rides!$B$41*(Fares!$C$24+Fares!$C$36-INDEX(Fares!$C$2:$C$40,MIN(38,MAX(0,ROUNDUP(ROUND(Fares!$B$24+Fares!$B$36-3.2,1)-0.000000001,0)))+1))</f>
        <v/>
      </c>
      <c r="AK26">
        <f>Rides!$B$24/Rides!$B$41*Rides!$B$37/Rides!$B$41*(Fares!$C$24+Fares!$C$37-INDEX(Fares!$C$2:$C$40,MIN(38,MAX(0,ROUNDUP(ROUND(Fares!$B$24+Fares!$B$37-3.2,1)-0.000000001,0)))+1))</f>
        <v/>
      </c>
      <c r="AL26">
        <f>Rides!$B$24/Rides!$B$41*Rides!$B$38/Rides!$B$41*(Fares!$C$24+Fares!$C$38-INDEX(Fares!$C$2:$C$40,MIN(38,MAX(0,ROUNDUP(ROUND(Fares!$B$24+Fares!$B$38-3.2,1)-0.000000001,0)))+1))</f>
        <v/>
      </c>
      <c r="AM26">
        <f>Rides!$B$24/Rides!$B$41*Rides!$B$39/Rides!$B$41*(Fares!$C$24+Fares!$C$39-INDEX(Fares!$C$2:$C$40,MIN(38,MAX(0,ROUNDUP(ROUND(Fares!$B$24+Fares!$B$39-3.2,1)-0.000000001,0)))+1))</f>
        <v/>
      </c>
      <c r="AN26">
        <f>Rides!$B$24/Rides!$B$41*Rides!$B$40/Rides!$B$41*(Fares!$C$24+Fares!$C$40-INDEX(Fares!$C$2:$C$40,MIN(38,MAX(0,ROUNDUP(ROUND(Fares!$B$24+Fares!$B$40-3.2,1)-0.000000001,0)))+1))</f>
        <v/>
      </c>
    </row>
    <row r="27">
      <c r="A27">
        <f>Fares!$B$25</f>
        <v/>
      </c>
      <c r="B27">
        <f>Rides!$B$25/Rides!$B$41*Rides!$B$2/Rides!$B$41*(Fares!$C$25+Fares!$C$2-INDEX(Fares!$C$2:$C$40,MIN(38,MAX(0,ROUNDUP(ROUND(Fares!$B$25+Fares!$B$2-3.2,1)-0.000000001,0)))+1))</f>
        <v/>
      </c>
      <c r="C27">
        <f>Rides!$B$25/Rides!$B$41*Rides!$B$3/Rides!$B$41*(Fares!$C$25+Fares!$C$3-INDEX(Fares!$C$2:$C$40,MIN(38,MAX(0,ROUNDUP(ROUND(Fares!$B$25+Fares!$B$3-3.2,1)-0.000000001,0)))+1))</f>
        <v/>
      </c>
      <c r="D27">
        <f>Rides!$B$25/Rides!$B$41*Rides!$B$4/Rides!$B$41*(Fares!$C$25+Fares!$C$4-INDEX(Fares!$C$2:$C$40,MIN(38,MAX(0,ROUNDUP(ROUND(Fares!$B$25+Fares!$B$4-3.2,1)-0.000000001,0)))+1))</f>
        <v/>
      </c>
      <c r="E27">
        <f>Rides!$B$25/Rides!$B$41*Rides!$B$5/Rides!$B$41*(Fares!$C$25+Fares!$C$5-INDEX(Fares!$C$2:$C$40,MIN(38,MAX(0,ROUNDUP(ROUND(Fares!$B$25+Fares!$B$5-3.2,1)-0.000000001,0)))+1))</f>
        <v/>
      </c>
      <c r="F27">
        <f>Rides!$B$25/Rides!$B$41*Rides!$B$6/Rides!$B$41*(Fares!$C$25+Fares!$C$6-INDEX(Fares!$C$2:$C$40,MIN(38,MAX(0,ROUNDUP(ROUND(Fares!$B$25+Fares!$B$6-3.2,1)-0.000000001,0)))+1))</f>
        <v/>
      </c>
      <c r="G27">
        <f>Rides!$B$25/Rides!$B$41*Rides!$B$7/Rides!$B$41*(Fares!$C$25+Fares!$C$7-INDEX(Fares!$C$2:$C$40,MIN(38,MAX(0,ROUNDUP(ROUND(Fares!$B$25+Fares!$B$7-3.2,1)-0.000000001,0)))+1))</f>
        <v/>
      </c>
      <c r="H27">
        <f>Rides!$B$25/Rides!$B$41*Rides!$B$8/Rides!$B$41*(Fares!$C$25+Fares!$C$8-INDEX(Fares!$C$2:$C$40,MIN(38,MAX(0,ROUNDUP(ROUND(Fares!$B$25+Fares!$B$8-3.2,1)-0.000000001,0)))+1))</f>
        <v/>
      </c>
      <c r="I27">
        <f>Rides!$B$25/Rides!$B$41*Rides!$B$9/Rides!$B$41*(Fares!$C$25+Fares!$C$9-INDEX(Fares!$C$2:$C$40,MIN(38,MAX(0,ROUNDUP(ROUND(Fares!$B$25+Fares!$B$9-3.2,1)-0.000000001,0)))+1))</f>
        <v/>
      </c>
      <c r="J27">
        <f>Rides!$B$25/Rides!$B$41*Rides!$B$10/Rides!$B$41*(Fares!$C$25+Fares!$C$10-INDEX(Fares!$C$2:$C$40,MIN(38,MAX(0,ROUNDUP(ROUND(Fares!$B$25+Fares!$B$10-3.2,1)-0.000000001,0)))+1))</f>
        <v/>
      </c>
      <c r="K27">
        <f>Rides!$B$25/Rides!$B$41*Rides!$B$11/Rides!$B$41*(Fares!$C$25+Fares!$C$11-INDEX(Fares!$C$2:$C$40,MIN(38,MAX(0,ROUNDUP(ROUND(Fares!$B$25+Fares!$B$11-3.2,1)-0.000000001,0)))+1))</f>
        <v/>
      </c>
      <c r="L27">
        <f>Rides!$B$25/Rides!$B$41*Rides!$B$12/Rides!$B$41*(Fares!$C$25+Fares!$C$12-INDEX(Fares!$C$2:$C$40,MIN(38,MAX(0,ROUNDUP(ROUND(Fares!$B$25+Fares!$B$12-3.2,1)-0.000000001,0)))+1))</f>
        <v/>
      </c>
      <c r="M27">
        <f>Rides!$B$25/Rides!$B$41*Rides!$B$13/Rides!$B$41*(Fares!$C$25+Fares!$C$13-INDEX(Fares!$C$2:$C$40,MIN(38,MAX(0,ROUNDUP(ROUND(Fares!$B$25+Fares!$B$13-3.2,1)-0.000000001,0)))+1))</f>
        <v/>
      </c>
      <c r="N27">
        <f>Rides!$B$25/Rides!$B$41*Rides!$B$14/Rides!$B$41*(Fares!$C$25+Fares!$C$14-INDEX(Fares!$C$2:$C$40,MIN(38,MAX(0,ROUNDUP(ROUND(Fares!$B$25+Fares!$B$14-3.2,1)-0.000000001,0)))+1))</f>
        <v/>
      </c>
      <c r="O27">
        <f>Rides!$B$25/Rides!$B$41*Rides!$B$15/Rides!$B$41*(Fares!$C$25+Fares!$C$15-INDEX(Fares!$C$2:$C$40,MIN(38,MAX(0,ROUNDUP(ROUND(Fares!$B$25+Fares!$B$15-3.2,1)-0.000000001,0)))+1))</f>
        <v/>
      </c>
      <c r="P27">
        <f>Rides!$B$25/Rides!$B$41*Rides!$B$16/Rides!$B$41*(Fares!$C$25+Fares!$C$16-INDEX(Fares!$C$2:$C$40,MIN(38,MAX(0,ROUNDUP(ROUND(Fares!$B$25+Fares!$B$16-3.2,1)-0.000000001,0)))+1))</f>
        <v/>
      </c>
      <c r="Q27">
        <f>Rides!$B$25/Rides!$B$41*Rides!$B$17/Rides!$B$41*(Fares!$C$25+Fares!$C$17-INDEX(Fares!$C$2:$C$40,MIN(38,MAX(0,ROUNDUP(ROUND(Fares!$B$25+Fares!$B$17-3.2,1)-0.000000001,0)))+1))</f>
        <v/>
      </c>
      <c r="R27">
        <f>Rides!$B$25/Rides!$B$41*Rides!$B$18/Rides!$B$41*(Fares!$C$25+Fares!$C$18-INDEX(Fares!$C$2:$C$40,MIN(38,MAX(0,ROUNDUP(ROUND(Fares!$B$25+Fares!$B$18-3.2,1)-0.000000001,0)))+1))</f>
        <v/>
      </c>
      <c r="S27">
        <f>Rides!$B$25/Rides!$B$41*Rides!$B$19/Rides!$B$41*(Fares!$C$25+Fares!$C$19-INDEX(Fares!$C$2:$C$40,MIN(38,MAX(0,ROUNDUP(ROUND(Fares!$B$25+Fares!$B$19-3.2,1)-0.000000001,0)))+1))</f>
        <v/>
      </c>
      <c r="T27">
        <f>Rides!$B$25/Rides!$B$41*Rides!$B$20/Rides!$B$41*(Fares!$C$25+Fares!$C$20-INDEX(Fares!$C$2:$C$40,MIN(38,MAX(0,ROUNDUP(ROUND(Fares!$B$25+Fares!$B$20-3.2,1)-0.000000001,0)))+1))</f>
        <v/>
      </c>
      <c r="U27">
        <f>Rides!$B$25/Rides!$B$41*Rides!$B$21/Rides!$B$41*(Fares!$C$25+Fares!$C$21-INDEX(Fares!$C$2:$C$40,MIN(38,MAX(0,ROUNDUP(ROUND(Fares!$B$25+Fares!$B$21-3.2,1)-0.000000001,0)))+1))</f>
        <v/>
      </c>
      <c r="V27">
        <f>Rides!$B$25/Rides!$B$41*Rides!$B$22/Rides!$B$41*(Fares!$C$25+Fares!$C$22-INDEX(Fares!$C$2:$C$40,MIN(38,MAX(0,ROUNDUP(ROUND(Fares!$B$25+Fares!$B$22-3.2,1)-0.000000001,0)))+1))</f>
        <v/>
      </c>
      <c r="W27">
        <f>Rides!$B$25/Rides!$B$41*Rides!$B$23/Rides!$B$41*(Fares!$C$25+Fares!$C$23-INDEX(Fares!$C$2:$C$40,MIN(38,MAX(0,ROUNDUP(ROUND(Fares!$B$25+Fares!$B$23-3.2,1)-0.000000001,0)))+1))</f>
        <v/>
      </c>
      <c r="X27">
        <f>Rides!$B$25/Rides!$B$41*Rides!$B$24/Rides!$B$41*(Fares!$C$25+Fares!$C$24-INDEX(Fares!$C$2:$C$40,MIN(38,MAX(0,ROUNDUP(ROUND(Fares!$B$25+Fares!$B$24-3.2,1)-0.000000001,0)))+1))</f>
        <v/>
      </c>
      <c r="Y27">
        <f>Rides!$B$25/Rides!$B$41*Rides!$B$25/Rides!$B$41*(Fares!$C$25+Fares!$C$25-INDEX(Fares!$C$2:$C$40,MIN(38,MAX(0,ROUNDUP(ROUND(Fares!$B$25+Fares!$B$25-3.2,1)-0.000000001,0)))+1))</f>
        <v/>
      </c>
      <c r="Z27">
        <f>Rides!$B$25/Rides!$B$41*Rides!$B$26/Rides!$B$41*(Fares!$C$25+Fares!$C$26-INDEX(Fares!$C$2:$C$40,MIN(38,MAX(0,ROUNDUP(ROUND(Fares!$B$25+Fares!$B$26-3.2,1)-0.000000001,0)))+1))</f>
        <v/>
      </c>
      <c r="AA27">
        <f>Rides!$B$25/Rides!$B$41*Rides!$B$27/Rides!$B$41*(Fares!$C$25+Fares!$C$27-INDEX(Fares!$C$2:$C$40,MIN(38,MAX(0,ROUNDUP(ROUND(Fares!$B$25+Fares!$B$27-3.2,1)-0.000000001,0)))+1))</f>
        <v/>
      </c>
      <c r="AB27">
        <f>Rides!$B$25/Rides!$B$41*Rides!$B$28/Rides!$B$41*(Fares!$C$25+Fares!$C$28-INDEX(Fares!$C$2:$C$40,MIN(38,MAX(0,ROUNDUP(ROUND(Fares!$B$25+Fares!$B$28-3.2,1)-0.000000001,0)))+1))</f>
        <v/>
      </c>
      <c r="AC27">
        <f>Rides!$B$25/Rides!$B$41*Rides!$B$29/Rides!$B$41*(Fares!$C$25+Fares!$C$29-INDEX(Fares!$C$2:$C$40,MIN(38,MAX(0,ROUNDUP(ROUND(Fares!$B$25+Fares!$B$29-3.2,1)-0.000000001,0)))+1))</f>
        <v/>
      </c>
      <c r="AD27">
        <f>Rides!$B$25/Rides!$B$41*Rides!$B$30/Rides!$B$41*(Fares!$C$25+Fares!$C$30-INDEX(Fares!$C$2:$C$40,MIN(38,MAX(0,ROUNDUP(ROUND(Fares!$B$25+Fares!$B$30-3.2,1)-0.000000001,0)))+1))</f>
        <v/>
      </c>
      <c r="AE27">
        <f>Rides!$B$25/Rides!$B$41*Rides!$B$31/Rides!$B$41*(Fares!$C$25+Fares!$C$31-INDEX(Fares!$C$2:$C$40,MIN(38,MAX(0,ROUNDUP(ROUND(Fares!$B$25+Fares!$B$31-3.2,1)-0.000000001,0)))+1))</f>
        <v/>
      </c>
      <c r="AF27">
        <f>Rides!$B$25/Rides!$B$41*Rides!$B$32/Rides!$B$41*(Fares!$C$25+Fares!$C$32-INDEX(Fares!$C$2:$C$40,MIN(38,MAX(0,ROUNDUP(ROUND(Fares!$B$25+Fares!$B$32-3.2,1)-0.000000001,0)))+1))</f>
        <v/>
      </c>
      <c r="AG27">
        <f>Rides!$B$25/Rides!$B$41*Rides!$B$33/Rides!$B$41*(Fares!$C$25+Fares!$C$33-INDEX(Fares!$C$2:$C$40,MIN(38,MAX(0,ROUNDUP(ROUND(Fares!$B$25+Fares!$B$33-3.2,1)-0.000000001,0)))+1))</f>
        <v/>
      </c>
      <c r="AH27">
        <f>Rides!$B$25/Rides!$B$41*Rides!$B$34/Rides!$B$41*(Fares!$C$25+Fares!$C$34-INDEX(Fares!$C$2:$C$40,MIN(38,MAX(0,ROUNDUP(ROUND(Fares!$B$25+Fares!$B$34-3.2,1)-0.000000001,0)))+1))</f>
        <v/>
      </c>
      <c r="AI27">
        <f>Rides!$B$25/Rides!$B$41*Rides!$B$35/Rides!$B$41*(Fares!$C$25+Fares!$C$35-INDEX(Fares!$C$2:$C$40,MIN(38,MAX(0,ROUNDUP(ROUND(Fares!$B$25+Fares!$B$35-3.2,1)-0.000000001,0)))+1))</f>
        <v/>
      </c>
      <c r="AJ27">
        <f>Rides!$B$25/Rides!$B$41*Rides!$B$36/Rides!$B$41*(Fares!$C$25+Fares!$C$36-INDEX(Fares!$C$2:$C$40,MIN(38,MAX(0,ROUNDUP(ROUND(Fares!$B$25+Fares!$B$36-3.2,1)-0.000000001,0)))+1))</f>
        <v/>
      </c>
      <c r="AK27">
        <f>Rides!$B$25/Rides!$B$41*Rides!$B$37/Rides!$B$41*(Fares!$C$25+Fares!$C$37-INDEX(Fares!$C$2:$C$40,MIN(38,MAX(0,ROUNDUP(ROUND(Fares!$B$25+Fares!$B$37-3.2,1)-0.000000001,0)))+1))</f>
        <v/>
      </c>
      <c r="AL27">
        <f>Rides!$B$25/Rides!$B$41*Rides!$B$38/Rides!$B$41*(Fares!$C$25+Fares!$C$38-INDEX(Fares!$C$2:$C$40,MIN(38,MAX(0,ROUNDUP(ROUND(Fares!$B$25+Fares!$B$38-3.2,1)-0.000000001,0)))+1))</f>
        <v/>
      </c>
      <c r="AM27">
        <f>Rides!$B$25/Rides!$B$41*Rides!$B$39/Rides!$B$41*(Fares!$C$25+Fares!$C$39-INDEX(Fares!$C$2:$C$40,MIN(38,MAX(0,ROUNDUP(ROUND(Fares!$B$25+Fares!$B$39-3.2,1)-0.000000001,0)))+1))</f>
        <v/>
      </c>
      <c r="AN27">
        <f>Rides!$B$25/Rides!$B$41*Rides!$B$40/Rides!$B$41*(Fares!$C$25+Fares!$C$40-INDEX(Fares!$C$2:$C$40,MIN(38,MAX(0,ROUNDUP(ROUND(Fares!$B$25+Fares!$B$40-3.2,1)-0.000000001,0)))+1))</f>
        <v/>
      </c>
    </row>
    <row r="28">
      <c r="A28">
        <f>Fares!$B$26</f>
        <v/>
      </c>
      <c r="B28">
        <f>Rides!$B$26/Rides!$B$41*Rides!$B$2/Rides!$B$41*(Fares!$C$26+Fares!$C$2-INDEX(Fares!$C$2:$C$40,MIN(38,MAX(0,ROUNDUP(ROUND(Fares!$B$26+Fares!$B$2-3.2,1)-0.000000001,0)))+1))</f>
        <v/>
      </c>
      <c r="C28">
        <f>Rides!$B$26/Rides!$B$41*Rides!$B$3/Rides!$B$41*(Fares!$C$26+Fares!$C$3-INDEX(Fares!$C$2:$C$40,MIN(38,MAX(0,ROUNDUP(ROUND(Fares!$B$26+Fares!$B$3-3.2,1)-0.000000001,0)))+1))</f>
        <v/>
      </c>
      <c r="D28">
        <f>Rides!$B$26/Rides!$B$41*Rides!$B$4/Rides!$B$41*(Fares!$C$26+Fares!$C$4-INDEX(Fares!$C$2:$C$40,MIN(38,MAX(0,ROUNDUP(ROUND(Fares!$B$26+Fares!$B$4-3.2,1)-0.000000001,0)))+1))</f>
        <v/>
      </c>
      <c r="E28">
        <f>Rides!$B$26/Rides!$B$41*Rides!$B$5/Rides!$B$41*(Fares!$C$26+Fares!$C$5-INDEX(Fares!$C$2:$C$40,MIN(38,MAX(0,ROUNDUP(ROUND(Fares!$B$26+Fares!$B$5-3.2,1)-0.000000001,0)))+1))</f>
        <v/>
      </c>
      <c r="F28">
        <f>Rides!$B$26/Rides!$B$41*Rides!$B$6/Rides!$B$41*(Fares!$C$26+Fares!$C$6-INDEX(Fares!$C$2:$C$40,MIN(38,MAX(0,ROUNDUP(ROUND(Fares!$B$26+Fares!$B$6-3.2,1)-0.000000001,0)))+1))</f>
        <v/>
      </c>
      <c r="G28">
        <f>Rides!$B$26/Rides!$B$41*Rides!$B$7/Rides!$B$41*(Fares!$C$26+Fares!$C$7-INDEX(Fares!$C$2:$C$40,MIN(38,MAX(0,ROUNDUP(ROUND(Fares!$B$26+Fares!$B$7-3.2,1)-0.000000001,0)))+1))</f>
        <v/>
      </c>
      <c r="H28">
        <f>Rides!$B$26/Rides!$B$41*Rides!$B$8/Rides!$B$41*(Fares!$C$26+Fares!$C$8-INDEX(Fares!$C$2:$C$40,MIN(38,MAX(0,ROUNDUP(ROUND(Fares!$B$26+Fares!$B$8-3.2,1)-0.000000001,0)))+1))</f>
        <v/>
      </c>
      <c r="I28">
        <f>Rides!$B$26/Rides!$B$41*Rides!$B$9/Rides!$B$41*(Fares!$C$26+Fares!$C$9-INDEX(Fares!$C$2:$C$40,MIN(38,MAX(0,ROUNDUP(ROUND(Fares!$B$26+Fares!$B$9-3.2,1)-0.000000001,0)))+1))</f>
        <v/>
      </c>
      <c r="J28">
        <f>Rides!$B$26/Rides!$B$41*Rides!$B$10/Rides!$B$41*(Fares!$C$26+Fares!$C$10-INDEX(Fares!$C$2:$C$40,MIN(38,MAX(0,ROUNDUP(ROUND(Fares!$B$26+Fares!$B$10-3.2,1)-0.000000001,0)))+1))</f>
        <v/>
      </c>
      <c r="K28">
        <f>Rides!$B$26/Rides!$B$41*Rides!$B$11/Rides!$B$41*(Fares!$C$26+Fares!$C$11-INDEX(Fares!$C$2:$C$40,MIN(38,MAX(0,ROUNDUP(ROUND(Fares!$B$26+Fares!$B$11-3.2,1)-0.000000001,0)))+1))</f>
        <v/>
      </c>
      <c r="L28">
        <f>Rides!$B$26/Rides!$B$41*Rides!$B$12/Rides!$B$41*(Fares!$C$26+Fares!$C$12-INDEX(Fares!$C$2:$C$40,MIN(38,MAX(0,ROUNDUP(ROUND(Fares!$B$26+Fares!$B$12-3.2,1)-0.000000001,0)))+1))</f>
        <v/>
      </c>
      <c r="M28">
        <f>Rides!$B$26/Rides!$B$41*Rides!$B$13/Rides!$B$41*(Fares!$C$26+Fares!$C$13-INDEX(Fares!$C$2:$C$40,MIN(38,MAX(0,ROUNDUP(ROUND(Fares!$B$26+Fares!$B$13-3.2,1)-0.000000001,0)))+1))</f>
        <v/>
      </c>
      <c r="N28">
        <f>Rides!$B$26/Rides!$B$41*Rides!$B$14/Rides!$B$41*(Fares!$C$26+Fares!$C$14-INDEX(Fares!$C$2:$C$40,MIN(38,MAX(0,ROUNDUP(ROUND(Fares!$B$26+Fares!$B$14-3.2,1)-0.000000001,0)))+1))</f>
        <v/>
      </c>
      <c r="O28">
        <f>Rides!$B$26/Rides!$B$41*Rides!$B$15/Rides!$B$41*(Fares!$C$26+Fares!$C$15-INDEX(Fares!$C$2:$C$40,MIN(38,MAX(0,ROUNDUP(ROUND(Fares!$B$26+Fares!$B$15-3.2,1)-0.000000001,0)))+1))</f>
        <v/>
      </c>
      <c r="P28">
        <f>Rides!$B$26/Rides!$B$41*Rides!$B$16/Rides!$B$41*(Fares!$C$26+Fares!$C$16-INDEX(Fares!$C$2:$C$40,MIN(38,MAX(0,ROUNDUP(ROUND(Fares!$B$26+Fares!$B$16-3.2,1)-0.000000001,0)))+1))</f>
        <v/>
      </c>
      <c r="Q28">
        <f>Rides!$B$26/Rides!$B$41*Rides!$B$17/Rides!$B$41*(Fares!$C$26+Fares!$C$17-INDEX(Fares!$C$2:$C$40,MIN(38,MAX(0,ROUNDUP(ROUND(Fares!$B$26+Fares!$B$17-3.2,1)-0.000000001,0)))+1))</f>
        <v/>
      </c>
      <c r="R28">
        <f>Rides!$B$26/Rides!$B$41*Rides!$B$18/Rides!$B$41*(Fares!$C$26+Fares!$C$18-INDEX(Fares!$C$2:$C$40,MIN(38,MAX(0,ROUNDUP(ROUND(Fares!$B$26+Fares!$B$18-3.2,1)-0.000000001,0)))+1))</f>
        <v/>
      </c>
      <c r="S28">
        <f>Rides!$B$26/Rides!$B$41*Rides!$B$19/Rides!$B$41*(Fares!$C$26+Fares!$C$19-INDEX(Fares!$C$2:$C$40,MIN(38,MAX(0,ROUNDUP(ROUND(Fares!$B$26+Fares!$B$19-3.2,1)-0.000000001,0)))+1))</f>
        <v/>
      </c>
      <c r="T28">
        <f>Rides!$B$26/Rides!$B$41*Rides!$B$20/Rides!$B$41*(Fares!$C$26+Fares!$C$20-INDEX(Fares!$C$2:$C$40,MIN(38,MAX(0,ROUNDUP(ROUND(Fares!$B$26+Fares!$B$20-3.2,1)-0.000000001,0)))+1))</f>
        <v/>
      </c>
      <c r="U28">
        <f>Rides!$B$26/Rides!$B$41*Rides!$B$21/Rides!$B$41*(Fares!$C$26+Fares!$C$21-INDEX(Fares!$C$2:$C$40,MIN(38,MAX(0,ROUNDUP(ROUND(Fares!$B$26+Fares!$B$21-3.2,1)-0.000000001,0)))+1))</f>
        <v/>
      </c>
      <c r="V28">
        <f>Rides!$B$26/Rides!$B$41*Rides!$B$22/Rides!$B$41*(Fares!$C$26+Fares!$C$22-INDEX(Fares!$C$2:$C$40,MIN(38,MAX(0,ROUNDUP(ROUND(Fares!$B$26+Fares!$B$22-3.2,1)-0.000000001,0)))+1))</f>
        <v/>
      </c>
      <c r="W28">
        <f>Rides!$B$26/Rides!$B$41*Rides!$B$23/Rides!$B$41*(Fares!$C$26+Fares!$C$23-INDEX(Fares!$C$2:$C$40,MIN(38,MAX(0,ROUNDUP(ROUND(Fares!$B$26+Fares!$B$23-3.2,1)-0.000000001,0)))+1))</f>
        <v/>
      </c>
      <c r="X28">
        <f>Rides!$B$26/Rides!$B$41*Rides!$B$24/Rides!$B$41*(Fares!$C$26+Fares!$C$24-INDEX(Fares!$C$2:$C$40,MIN(38,MAX(0,ROUNDUP(ROUND(Fares!$B$26+Fares!$B$24-3.2,1)-0.000000001,0)))+1))</f>
        <v/>
      </c>
      <c r="Y28">
        <f>Rides!$B$26/Rides!$B$41*Rides!$B$25/Rides!$B$41*(Fares!$C$26+Fares!$C$25-INDEX(Fares!$C$2:$C$40,MIN(38,MAX(0,ROUNDUP(ROUND(Fares!$B$26+Fares!$B$25-3.2,1)-0.000000001,0)))+1))</f>
        <v/>
      </c>
      <c r="Z28">
        <f>Rides!$B$26/Rides!$B$41*Rides!$B$26/Rides!$B$41*(Fares!$C$26+Fares!$C$26-INDEX(Fares!$C$2:$C$40,MIN(38,MAX(0,ROUNDUP(ROUND(Fares!$B$26+Fares!$B$26-3.2,1)-0.000000001,0)))+1))</f>
        <v/>
      </c>
      <c r="AA28">
        <f>Rides!$B$26/Rides!$B$41*Rides!$B$27/Rides!$B$41*(Fares!$C$26+Fares!$C$27-INDEX(Fares!$C$2:$C$40,MIN(38,MAX(0,ROUNDUP(ROUND(Fares!$B$26+Fares!$B$27-3.2,1)-0.000000001,0)))+1))</f>
        <v/>
      </c>
      <c r="AB28">
        <f>Rides!$B$26/Rides!$B$41*Rides!$B$28/Rides!$B$41*(Fares!$C$26+Fares!$C$28-INDEX(Fares!$C$2:$C$40,MIN(38,MAX(0,ROUNDUP(ROUND(Fares!$B$26+Fares!$B$28-3.2,1)-0.000000001,0)))+1))</f>
        <v/>
      </c>
      <c r="AC28">
        <f>Rides!$B$26/Rides!$B$41*Rides!$B$29/Rides!$B$41*(Fares!$C$26+Fares!$C$29-INDEX(Fares!$C$2:$C$40,MIN(38,MAX(0,ROUNDUP(ROUND(Fares!$B$26+Fares!$B$29-3.2,1)-0.000000001,0)))+1))</f>
        <v/>
      </c>
      <c r="AD28">
        <f>Rides!$B$26/Rides!$B$41*Rides!$B$30/Rides!$B$41*(Fares!$C$26+Fares!$C$30-INDEX(Fares!$C$2:$C$40,MIN(38,MAX(0,ROUNDUP(ROUND(Fares!$B$26+Fares!$B$30-3.2,1)-0.000000001,0)))+1))</f>
        <v/>
      </c>
      <c r="AE28">
        <f>Rides!$B$26/Rides!$B$41*Rides!$B$31/Rides!$B$41*(Fares!$C$26+Fares!$C$31-INDEX(Fares!$C$2:$C$40,MIN(38,MAX(0,ROUNDUP(ROUND(Fares!$B$26+Fares!$B$31-3.2,1)-0.000000001,0)))+1))</f>
        <v/>
      </c>
      <c r="AF28">
        <f>Rides!$B$26/Rides!$B$41*Rides!$B$32/Rides!$B$41*(Fares!$C$26+Fares!$C$32-INDEX(Fares!$C$2:$C$40,MIN(38,MAX(0,ROUNDUP(ROUND(Fares!$B$26+Fares!$B$32-3.2,1)-0.000000001,0)))+1))</f>
        <v/>
      </c>
      <c r="AG28">
        <f>Rides!$B$26/Rides!$B$41*Rides!$B$33/Rides!$B$41*(Fares!$C$26+Fares!$C$33-INDEX(Fares!$C$2:$C$40,MIN(38,MAX(0,ROUNDUP(ROUND(Fares!$B$26+Fares!$B$33-3.2,1)-0.000000001,0)))+1))</f>
        <v/>
      </c>
      <c r="AH28">
        <f>Rides!$B$26/Rides!$B$41*Rides!$B$34/Rides!$B$41*(Fares!$C$26+Fares!$C$34-INDEX(Fares!$C$2:$C$40,MIN(38,MAX(0,ROUNDUP(ROUND(Fares!$B$26+Fares!$B$34-3.2,1)-0.000000001,0)))+1))</f>
        <v/>
      </c>
      <c r="AI28">
        <f>Rides!$B$26/Rides!$B$41*Rides!$B$35/Rides!$B$41*(Fares!$C$26+Fares!$C$35-INDEX(Fares!$C$2:$C$40,MIN(38,MAX(0,ROUNDUP(ROUND(Fares!$B$26+Fares!$B$35-3.2,1)-0.000000001,0)))+1))</f>
        <v/>
      </c>
      <c r="AJ28">
        <f>Rides!$B$26/Rides!$B$41*Rides!$B$36/Rides!$B$41*(Fares!$C$26+Fares!$C$36-INDEX(Fares!$C$2:$C$40,MIN(38,MAX(0,ROUNDUP(ROUND(Fares!$B$26+Fares!$B$36-3.2,1)-0.000000001,0)))+1))</f>
        <v/>
      </c>
      <c r="AK28">
        <f>Rides!$B$26/Rides!$B$41*Rides!$B$37/Rides!$B$41*(Fares!$C$26+Fares!$C$37-INDEX(Fares!$C$2:$C$40,MIN(38,MAX(0,ROUNDUP(ROUND(Fares!$B$26+Fares!$B$37-3.2,1)-0.000000001,0)))+1))</f>
        <v/>
      </c>
      <c r="AL28">
        <f>Rides!$B$26/Rides!$B$41*Rides!$B$38/Rides!$B$41*(Fares!$C$26+Fares!$C$38-INDEX(Fares!$C$2:$C$40,MIN(38,MAX(0,ROUNDUP(ROUND(Fares!$B$26+Fares!$B$38-3.2,1)-0.000000001,0)))+1))</f>
        <v/>
      </c>
      <c r="AM28">
        <f>Rides!$B$26/Rides!$B$41*Rides!$B$39/Rides!$B$41*(Fares!$C$26+Fares!$C$39-INDEX(Fares!$C$2:$C$40,MIN(38,MAX(0,ROUNDUP(ROUND(Fares!$B$26+Fares!$B$39-3.2,1)-0.000000001,0)))+1))</f>
        <v/>
      </c>
      <c r="AN28">
        <f>Rides!$B$26/Rides!$B$41*Rides!$B$40/Rides!$B$41*(Fares!$C$26+Fares!$C$40-INDEX(Fares!$C$2:$C$40,MIN(38,MAX(0,ROUNDUP(ROUND(Fares!$B$26+Fares!$B$40-3.2,1)-0.000000001,0)))+1))</f>
        <v/>
      </c>
    </row>
    <row r="29">
      <c r="A29">
        <f>Fares!$B$27</f>
        <v/>
      </c>
      <c r="B29">
        <f>Rides!$B$27/Rides!$B$41*Rides!$B$2/Rides!$B$41*(Fares!$C$27+Fares!$C$2-INDEX(Fares!$C$2:$C$40,MIN(38,MAX(0,ROUNDUP(ROUND(Fares!$B$27+Fares!$B$2-3.2,1)-0.000000001,0)))+1))</f>
        <v/>
      </c>
      <c r="C29">
        <f>Rides!$B$27/Rides!$B$41*Rides!$B$3/Rides!$B$41*(Fares!$C$27+Fares!$C$3-INDEX(Fares!$C$2:$C$40,MIN(38,MAX(0,ROUNDUP(ROUND(Fares!$B$27+Fares!$B$3-3.2,1)-0.000000001,0)))+1))</f>
        <v/>
      </c>
      <c r="D29">
        <f>Rides!$B$27/Rides!$B$41*Rides!$B$4/Rides!$B$41*(Fares!$C$27+Fares!$C$4-INDEX(Fares!$C$2:$C$40,MIN(38,MAX(0,ROUNDUP(ROUND(Fares!$B$27+Fares!$B$4-3.2,1)-0.000000001,0)))+1))</f>
        <v/>
      </c>
      <c r="E29">
        <f>Rides!$B$27/Rides!$B$41*Rides!$B$5/Rides!$B$41*(Fares!$C$27+Fares!$C$5-INDEX(Fares!$C$2:$C$40,MIN(38,MAX(0,ROUNDUP(ROUND(Fares!$B$27+Fares!$B$5-3.2,1)-0.000000001,0)))+1))</f>
        <v/>
      </c>
      <c r="F29">
        <f>Rides!$B$27/Rides!$B$41*Rides!$B$6/Rides!$B$41*(Fares!$C$27+Fares!$C$6-INDEX(Fares!$C$2:$C$40,MIN(38,MAX(0,ROUNDUP(ROUND(Fares!$B$27+Fares!$B$6-3.2,1)-0.000000001,0)))+1))</f>
        <v/>
      </c>
      <c r="G29">
        <f>Rides!$B$27/Rides!$B$41*Rides!$B$7/Rides!$B$41*(Fares!$C$27+Fares!$C$7-INDEX(Fares!$C$2:$C$40,MIN(38,MAX(0,ROUNDUP(ROUND(Fares!$B$27+Fares!$B$7-3.2,1)-0.000000001,0)))+1))</f>
        <v/>
      </c>
      <c r="H29">
        <f>Rides!$B$27/Rides!$B$41*Rides!$B$8/Rides!$B$41*(Fares!$C$27+Fares!$C$8-INDEX(Fares!$C$2:$C$40,MIN(38,MAX(0,ROUNDUP(ROUND(Fares!$B$27+Fares!$B$8-3.2,1)-0.000000001,0)))+1))</f>
        <v/>
      </c>
      <c r="I29">
        <f>Rides!$B$27/Rides!$B$41*Rides!$B$9/Rides!$B$41*(Fares!$C$27+Fares!$C$9-INDEX(Fares!$C$2:$C$40,MIN(38,MAX(0,ROUNDUP(ROUND(Fares!$B$27+Fares!$B$9-3.2,1)-0.000000001,0)))+1))</f>
        <v/>
      </c>
      <c r="J29">
        <f>Rides!$B$27/Rides!$B$41*Rides!$B$10/Rides!$B$41*(Fares!$C$27+Fares!$C$10-INDEX(Fares!$C$2:$C$40,MIN(38,MAX(0,ROUNDUP(ROUND(Fares!$B$27+Fares!$B$10-3.2,1)-0.000000001,0)))+1))</f>
        <v/>
      </c>
      <c r="K29">
        <f>Rides!$B$27/Rides!$B$41*Rides!$B$11/Rides!$B$41*(Fares!$C$27+Fares!$C$11-INDEX(Fares!$C$2:$C$40,MIN(38,MAX(0,ROUNDUP(ROUND(Fares!$B$27+Fares!$B$11-3.2,1)-0.000000001,0)))+1))</f>
        <v/>
      </c>
      <c r="L29">
        <f>Rides!$B$27/Rides!$B$41*Rides!$B$12/Rides!$B$41*(Fares!$C$27+Fares!$C$12-INDEX(Fares!$C$2:$C$40,MIN(38,MAX(0,ROUNDUP(ROUND(Fares!$B$27+Fares!$B$12-3.2,1)-0.000000001,0)))+1))</f>
        <v/>
      </c>
      <c r="M29">
        <f>Rides!$B$27/Rides!$B$41*Rides!$B$13/Rides!$B$41*(Fares!$C$27+Fares!$C$13-INDEX(Fares!$C$2:$C$40,MIN(38,MAX(0,ROUNDUP(ROUND(Fares!$B$27+Fares!$B$13-3.2,1)-0.000000001,0)))+1))</f>
        <v/>
      </c>
      <c r="N29">
        <f>Rides!$B$27/Rides!$B$41*Rides!$B$14/Rides!$B$41*(Fares!$C$27+Fares!$C$14-INDEX(Fares!$C$2:$C$40,MIN(38,MAX(0,ROUNDUP(ROUND(Fares!$B$27+Fares!$B$14-3.2,1)-0.000000001,0)))+1))</f>
        <v/>
      </c>
      <c r="O29">
        <f>Rides!$B$27/Rides!$B$41*Rides!$B$15/Rides!$B$41*(Fares!$C$27+Fares!$C$15-INDEX(Fares!$C$2:$C$40,MIN(38,MAX(0,ROUNDUP(ROUND(Fares!$B$27+Fares!$B$15-3.2,1)-0.000000001,0)))+1))</f>
        <v/>
      </c>
      <c r="P29">
        <f>Rides!$B$27/Rides!$B$41*Rides!$B$16/Rides!$B$41*(Fares!$C$27+Fares!$C$16-INDEX(Fares!$C$2:$C$40,MIN(38,MAX(0,ROUNDUP(ROUND(Fares!$B$27+Fares!$B$16-3.2,1)-0.000000001,0)))+1))</f>
        <v/>
      </c>
      <c r="Q29">
        <f>Rides!$B$27/Rides!$B$41*Rides!$B$17/Rides!$B$41*(Fares!$C$27+Fares!$C$17-INDEX(Fares!$C$2:$C$40,MIN(38,MAX(0,ROUNDUP(ROUND(Fares!$B$27+Fares!$B$17-3.2,1)-0.000000001,0)))+1))</f>
        <v/>
      </c>
      <c r="R29">
        <f>Rides!$B$27/Rides!$B$41*Rides!$B$18/Rides!$B$41*(Fares!$C$27+Fares!$C$18-INDEX(Fares!$C$2:$C$40,MIN(38,MAX(0,ROUNDUP(ROUND(Fares!$B$27+Fares!$B$18-3.2,1)-0.000000001,0)))+1))</f>
        <v/>
      </c>
      <c r="S29">
        <f>Rides!$B$27/Rides!$B$41*Rides!$B$19/Rides!$B$41*(Fares!$C$27+Fares!$C$19-INDEX(Fares!$C$2:$C$40,MIN(38,MAX(0,ROUNDUP(ROUND(Fares!$B$27+Fares!$B$19-3.2,1)-0.000000001,0)))+1))</f>
        <v/>
      </c>
      <c r="T29">
        <f>Rides!$B$27/Rides!$B$41*Rides!$B$20/Rides!$B$41*(Fares!$C$27+Fares!$C$20-INDEX(Fares!$C$2:$C$40,MIN(38,MAX(0,ROUNDUP(ROUND(Fares!$B$27+Fares!$B$20-3.2,1)-0.000000001,0)))+1))</f>
        <v/>
      </c>
      <c r="U29">
        <f>Rides!$B$27/Rides!$B$41*Rides!$B$21/Rides!$B$41*(Fares!$C$27+Fares!$C$21-INDEX(Fares!$C$2:$C$40,MIN(38,MAX(0,ROUNDUP(ROUND(Fares!$B$27+Fares!$B$21-3.2,1)-0.000000001,0)))+1))</f>
        <v/>
      </c>
      <c r="V29">
        <f>Rides!$B$27/Rides!$B$41*Rides!$B$22/Rides!$B$41*(Fares!$C$27+Fares!$C$22-INDEX(Fares!$C$2:$C$40,MIN(38,MAX(0,ROUNDUP(ROUND(Fares!$B$27+Fares!$B$22-3.2,1)-0.000000001,0)))+1))</f>
        <v/>
      </c>
      <c r="W29">
        <f>Rides!$B$27/Rides!$B$41*Rides!$B$23/Rides!$B$41*(Fares!$C$27+Fares!$C$23-INDEX(Fares!$C$2:$C$40,MIN(38,MAX(0,ROUNDUP(ROUND(Fares!$B$27+Fares!$B$23-3.2,1)-0.000000001,0)))+1))</f>
        <v/>
      </c>
      <c r="X29">
        <f>Rides!$B$27/Rides!$B$41*Rides!$B$24/Rides!$B$41*(Fares!$C$27+Fares!$C$24-INDEX(Fares!$C$2:$C$40,MIN(38,MAX(0,ROUNDUP(ROUND(Fares!$B$27+Fares!$B$24-3.2,1)-0.000000001,0)))+1))</f>
        <v/>
      </c>
      <c r="Y29">
        <f>Rides!$B$27/Rides!$B$41*Rides!$B$25/Rides!$B$41*(Fares!$C$27+Fares!$C$25-INDEX(Fares!$C$2:$C$40,MIN(38,MAX(0,ROUNDUP(ROUND(Fares!$B$27+Fares!$B$25-3.2,1)-0.000000001,0)))+1))</f>
        <v/>
      </c>
      <c r="Z29">
        <f>Rides!$B$27/Rides!$B$41*Rides!$B$26/Rides!$B$41*(Fares!$C$27+Fares!$C$26-INDEX(Fares!$C$2:$C$40,MIN(38,MAX(0,ROUNDUP(ROUND(Fares!$B$27+Fares!$B$26-3.2,1)-0.000000001,0)))+1))</f>
        <v/>
      </c>
      <c r="AA29">
        <f>Rides!$B$27/Rides!$B$41*Rides!$B$27/Rides!$B$41*(Fares!$C$27+Fares!$C$27-INDEX(Fares!$C$2:$C$40,MIN(38,MAX(0,ROUNDUP(ROUND(Fares!$B$27+Fares!$B$27-3.2,1)-0.000000001,0)))+1))</f>
        <v/>
      </c>
      <c r="AB29">
        <f>Rides!$B$27/Rides!$B$41*Rides!$B$28/Rides!$B$41*(Fares!$C$27+Fares!$C$28-INDEX(Fares!$C$2:$C$40,MIN(38,MAX(0,ROUNDUP(ROUND(Fares!$B$27+Fares!$B$28-3.2,1)-0.000000001,0)))+1))</f>
        <v/>
      </c>
      <c r="AC29">
        <f>Rides!$B$27/Rides!$B$41*Rides!$B$29/Rides!$B$41*(Fares!$C$27+Fares!$C$29-INDEX(Fares!$C$2:$C$40,MIN(38,MAX(0,ROUNDUP(ROUND(Fares!$B$27+Fares!$B$29-3.2,1)-0.000000001,0)))+1))</f>
        <v/>
      </c>
      <c r="AD29">
        <f>Rides!$B$27/Rides!$B$41*Rides!$B$30/Rides!$B$41*(Fares!$C$27+Fares!$C$30-INDEX(Fares!$C$2:$C$40,MIN(38,MAX(0,ROUNDUP(ROUND(Fares!$B$27+Fares!$B$30-3.2,1)-0.000000001,0)))+1))</f>
        <v/>
      </c>
      <c r="AE29">
        <f>Rides!$B$27/Rides!$B$41*Rides!$B$31/Rides!$B$41*(Fares!$C$27+Fares!$C$31-INDEX(Fares!$C$2:$C$40,MIN(38,MAX(0,ROUNDUP(ROUND(Fares!$B$27+Fares!$B$31-3.2,1)-0.000000001,0)))+1))</f>
        <v/>
      </c>
      <c r="AF29">
        <f>Rides!$B$27/Rides!$B$41*Rides!$B$32/Rides!$B$41*(Fares!$C$27+Fares!$C$32-INDEX(Fares!$C$2:$C$40,MIN(38,MAX(0,ROUNDUP(ROUND(Fares!$B$27+Fares!$B$32-3.2,1)-0.000000001,0)))+1))</f>
        <v/>
      </c>
      <c r="AG29">
        <f>Rides!$B$27/Rides!$B$41*Rides!$B$33/Rides!$B$41*(Fares!$C$27+Fares!$C$33-INDEX(Fares!$C$2:$C$40,MIN(38,MAX(0,ROUNDUP(ROUND(Fares!$B$27+Fares!$B$33-3.2,1)-0.000000001,0)))+1))</f>
        <v/>
      </c>
      <c r="AH29">
        <f>Rides!$B$27/Rides!$B$41*Rides!$B$34/Rides!$B$41*(Fares!$C$27+Fares!$C$34-INDEX(Fares!$C$2:$C$40,MIN(38,MAX(0,ROUNDUP(ROUND(Fares!$B$27+Fares!$B$34-3.2,1)-0.000000001,0)))+1))</f>
        <v/>
      </c>
      <c r="AI29">
        <f>Rides!$B$27/Rides!$B$41*Rides!$B$35/Rides!$B$41*(Fares!$C$27+Fares!$C$35-INDEX(Fares!$C$2:$C$40,MIN(38,MAX(0,ROUNDUP(ROUND(Fares!$B$27+Fares!$B$35-3.2,1)-0.000000001,0)))+1))</f>
        <v/>
      </c>
      <c r="AJ29">
        <f>Rides!$B$27/Rides!$B$41*Rides!$B$36/Rides!$B$41*(Fares!$C$27+Fares!$C$36-INDEX(Fares!$C$2:$C$40,MIN(38,MAX(0,ROUNDUP(ROUND(Fares!$B$27+Fares!$B$36-3.2,1)-0.000000001,0)))+1))</f>
        <v/>
      </c>
      <c r="AK29">
        <f>Rides!$B$27/Rides!$B$41*Rides!$B$37/Rides!$B$41*(Fares!$C$27+Fares!$C$37-INDEX(Fares!$C$2:$C$40,MIN(38,MAX(0,ROUNDUP(ROUND(Fares!$B$27+Fares!$B$37-3.2,1)-0.000000001,0)))+1))</f>
        <v/>
      </c>
      <c r="AL29">
        <f>Rides!$B$27/Rides!$B$41*Rides!$B$38/Rides!$B$41*(Fares!$C$27+Fares!$C$38-INDEX(Fares!$C$2:$C$40,MIN(38,MAX(0,ROUNDUP(ROUND(Fares!$B$27+Fares!$B$38-3.2,1)-0.000000001,0)))+1))</f>
        <v/>
      </c>
      <c r="AM29">
        <f>Rides!$B$27/Rides!$B$41*Rides!$B$39/Rides!$B$41*(Fares!$C$27+Fares!$C$39-INDEX(Fares!$C$2:$C$40,MIN(38,MAX(0,ROUNDUP(ROUND(Fares!$B$27+Fares!$B$39-3.2,1)-0.000000001,0)))+1))</f>
        <v/>
      </c>
      <c r="AN29">
        <f>Rides!$B$27/Rides!$B$41*Rides!$B$40/Rides!$B$41*(Fares!$C$27+Fares!$C$40-INDEX(Fares!$C$2:$C$40,MIN(38,MAX(0,ROUNDUP(ROUND(Fares!$B$27+Fares!$B$40-3.2,1)-0.000000001,0)))+1))</f>
        <v/>
      </c>
    </row>
    <row r="30">
      <c r="A30">
        <f>Fares!$B$28</f>
        <v/>
      </c>
      <c r="B30">
        <f>Rides!$B$28/Rides!$B$41*Rides!$B$2/Rides!$B$41*(Fares!$C$28+Fares!$C$2-INDEX(Fares!$C$2:$C$40,MIN(38,MAX(0,ROUNDUP(ROUND(Fares!$B$28+Fares!$B$2-3.2,1)-0.000000001,0)))+1))</f>
        <v/>
      </c>
      <c r="C30">
        <f>Rides!$B$28/Rides!$B$41*Rides!$B$3/Rides!$B$41*(Fares!$C$28+Fares!$C$3-INDEX(Fares!$C$2:$C$40,MIN(38,MAX(0,ROUNDUP(ROUND(Fares!$B$28+Fares!$B$3-3.2,1)-0.000000001,0)))+1))</f>
        <v/>
      </c>
      <c r="D30">
        <f>Rides!$B$28/Rides!$B$41*Rides!$B$4/Rides!$B$41*(Fares!$C$28+Fares!$C$4-INDEX(Fares!$C$2:$C$40,MIN(38,MAX(0,ROUNDUP(ROUND(Fares!$B$28+Fares!$B$4-3.2,1)-0.000000001,0)))+1))</f>
        <v/>
      </c>
      <c r="E30">
        <f>Rides!$B$28/Rides!$B$41*Rides!$B$5/Rides!$B$41*(Fares!$C$28+Fares!$C$5-INDEX(Fares!$C$2:$C$40,MIN(38,MAX(0,ROUNDUP(ROUND(Fares!$B$28+Fares!$B$5-3.2,1)-0.000000001,0)))+1))</f>
        <v/>
      </c>
      <c r="F30">
        <f>Rides!$B$28/Rides!$B$41*Rides!$B$6/Rides!$B$41*(Fares!$C$28+Fares!$C$6-INDEX(Fares!$C$2:$C$40,MIN(38,MAX(0,ROUNDUP(ROUND(Fares!$B$28+Fares!$B$6-3.2,1)-0.000000001,0)))+1))</f>
        <v/>
      </c>
      <c r="G30">
        <f>Rides!$B$28/Rides!$B$41*Rides!$B$7/Rides!$B$41*(Fares!$C$28+Fares!$C$7-INDEX(Fares!$C$2:$C$40,MIN(38,MAX(0,ROUNDUP(ROUND(Fares!$B$28+Fares!$B$7-3.2,1)-0.000000001,0)))+1))</f>
        <v/>
      </c>
      <c r="H30">
        <f>Rides!$B$28/Rides!$B$41*Rides!$B$8/Rides!$B$41*(Fares!$C$28+Fares!$C$8-INDEX(Fares!$C$2:$C$40,MIN(38,MAX(0,ROUNDUP(ROUND(Fares!$B$28+Fares!$B$8-3.2,1)-0.000000001,0)))+1))</f>
        <v/>
      </c>
      <c r="I30">
        <f>Rides!$B$28/Rides!$B$41*Rides!$B$9/Rides!$B$41*(Fares!$C$28+Fares!$C$9-INDEX(Fares!$C$2:$C$40,MIN(38,MAX(0,ROUNDUP(ROUND(Fares!$B$28+Fares!$B$9-3.2,1)-0.000000001,0)))+1))</f>
        <v/>
      </c>
      <c r="J30">
        <f>Rides!$B$28/Rides!$B$41*Rides!$B$10/Rides!$B$41*(Fares!$C$28+Fares!$C$10-INDEX(Fares!$C$2:$C$40,MIN(38,MAX(0,ROUNDUP(ROUND(Fares!$B$28+Fares!$B$10-3.2,1)-0.000000001,0)))+1))</f>
        <v/>
      </c>
      <c r="K30">
        <f>Rides!$B$28/Rides!$B$41*Rides!$B$11/Rides!$B$41*(Fares!$C$28+Fares!$C$11-INDEX(Fares!$C$2:$C$40,MIN(38,MAX(0,ROUNDUP(ROUND(Fares!$B$28+Fares!$B$11-3.2,1)-0.000000001,0)))+1))</f>
        <v/>
      </c>
      <c r="L30">
        <f>Rides!$B$28/Rides!$B$41*Rides!$B$12/Rides!$B$41*(Fares!$C$28+Fares!$C$12-INDEX(Fares!$C$2:$C$40,MIN(38,MAX(0,ROUNDUP(ROUND(Fares!$B$28+Fares!$B$12-3.2,1)-0.000000001,0)))+1))</f>
        <v/>
      </c>
      <c r="M30">
        <f>Rides!$B$28/Rides!$B$41*Rides!$B$13/Rides!$B$41*(Fares!$C$28+Fares!$C$13-INDEX(Fares!$C$2:$C$40,MIN(38,MAX(0,ROUNDUP(ROUND(Fares!$B$28+Fares!$B$13-3.2,1)-0.000000001,0)))+1))</f>
        <v/>
      </c>
      <c r="N30">
        <f>Rides!$B$28/Rides!$B$41*Rides!$B$14/Rides!$B$41*(Fares!$C$28+Fares!$C$14-INDEX(Fares!$C$2:$C$40,MIN(38,MAX(0,ROUNDUP(ROUND(Fares!$B$28+Fares!$B$14-3.2,1)-0.000000001,0)))+1))</f>
        <v/>
      </c>
      <c r="O30">
        <f>Rides!$B$28/Rides!$B$41*Rides!$B$15/Rides!$B$41*(Fares!$C$28+Fares!$C$15-INDEX(Fares!$C$2:$C$40,MIN(38,MAX(0,ROUNDUP(ROUND(Fares!$B$28+Fares!$B$15-3.2,1)-0.000000001,0)))+1))</f>
        <v/>
      </c>
      <c r="P30">
        <f>Rides!$B$28/Rides!$B$41*Rides!$B$16/Rides!$B$41*(Fares!$C$28+Fares!$C$16-INDEX(Fares!$C$2:$C$40,MIN(38,MAX(0,ROUNDUP(ROUND(Fares!$B$28+Fares!$B$16-3.2,1)-0.000000001,0)))+1))</f>
        <v/>
      </c>
      <c r="Q30">
        <f>Rides!$B$28/Rides!$B$41*Rides!$B$17/Rides!$B$41*(Fares!$C$28+Fares!$C$17-INDEX(Fares!$C$2:$C$40,MIN(38,MAX(0,ROUNDUP(ROUND(Fares!$B$28+Fares!$B$17-3.2,1)-0.000000001,0)))+1))</f>
        <v/>
      </c>
      <c r="R30">
        <f>Rides!$B$28/Rides!$B$41*Rides!$B$18/Rides!$B$41*(Fares!$C$28+Fares!$C$18-INDEX(Fares!$C$2:$C$40,MIN(38,MAX(0,ROUNDUP(ROUND(Fares!$B$28+Fares!$B$18-3.2,1)-0.000000001,0)))+1))</f>
        <v/>
      </c>
      <c r="S30">
        <f>Rides!$B$28/Rides!$B$41*Rides!$B$19/Rides!$B$41*(Fares!$C$28+Fares!$C$19-INDEX(Fares!$C$2:$C$40,MIN(38,MAX(0,ROUNDUP(ROUND(Fares!$B$28+Fares!$B$19-3.2,1)-0.000000001,0)))+1))</f>
        <v/>
      </c>
      <c r="T30">
        <f>Rides!$B$28/Rides!$B$41*Rides!$B$20/Rides!$B$41*(Fares!$C$28+Fares!$C$20-INDEX(Fares!$C$2:$C$40,MIN(38,MAX(0,ROUNDUP(ROUND(Fares!$B$28+Fares!$B$20-3.2,1)-0.000000001,0)))+1))</f>
        <v/>
      </c>
      <c r="U30">
        <f>Rides!$B$28/Rides!$B$41*Rides!$B$21/Rides!$B$41*(Fares!$C$28+Fares!$C$21-INDEX(Fares!$C$2:$C$40,MIN(38,MAX(0,ROUNDUP(ROUND(Fares!$B$28+Fares!$B$21-3.2,1)-0.000000001,0)))+1))</f>
        <v/>
      </c>
      <c r="V30">
        <f>Rides!$B$28/Rides!$B$41*Rides!$B$22/Rides!$B$41*(Fares!$C$28+Fares!$C$22-INDEX(Fares!$C$2:$C$40,MIN(38,MAX(0,ROUNDUP(ROUND(Fares!$B$28+Fares!$B$22-3.2,1)-0.000000001,0)))+1))</f>
        <v/>
      </c>
      <c r="W30">
        <f>Rides!$B$28/Rides!$B$41*Rides!$B$23/Rides!$B$41*(Fares!$C$28+Fares!$C$23-INDEX(Fares!$C$2:$C$40,MIN(38,MAX(0,ROUNDUP(ROUND(Fares!$B$28+Fares!$B$23-3.2,1)-0.000000001,0)))+1))</f>
        <v/>
      </c>
      <c r="X30">
        <f>Rides!$B$28/Rides!$B$41*Rides!$B$24/Rides!$B$41*(Fares!$C$28+Fares!$C$24-INDEX(Fares!$C$2:$C$40,MIN(38,MAX(0,ROUNDUP(ROUND(Fares!$B$28+Fares!$B$24-3.2,1)-0.000000001,0)))+1))</f>
        <v/>
      </c>
      <c r="Y30">
        <f>Rides!$B$28/Rides!$B$41*Rides!$B$25/Rides!$B$41*(Fares!$C$28+Fares!$C$25-INDEX(Fares!$C$2:$C$40,MIN(38,MAX(0,ROUNDUP(ROUND(Fares!$B$28+Fares!$B$25-3.2,1)-0.000000001,0)))+1))</f>
        <v/>
      </c>
      <c r="Z30">
        <f>Rides!$B$28/Rides!$B$41*Rides!$B$26/Rides!$B$41*(Fares!$C$28+Fares!$C$26-INDEX(Fares!$C$2:$C$40,MIN(38,MAX(0,ROUNDUP(ROUND(Fares!$B$28+Fares!$B$26-3.2,1)-0.000000001,0)))+1))</f>
        <v/>
      </c>
      <c r="AA30">
        <f>Rides!$B$28/Rides!$B$41*Rides!$B$27/Rides!$B$41*(Fares!$C$28+Fares!$C$27-INDEX(Fares!$C$2:$C$40,MIN(38,MAX(0,ROUNDUP(ROUND(Fares!$B$28+Fares!$B$27-3.2,1)-0.000000001,0)))+1))</f>
        <v/>
      </c>
      <c r="AB30">
        <f>Rides!$B$28/Rides!$B$41*Rides!$B$28/Rides!$B$41*(Fares!$C$28+Fares!$C$28-INDEX(Fares!$C$2:$C$40,MIN(38,MAX(0,ROUNDUP(ROUND(Fares!$B$28+Fares!$B$28-3.2,1)-0.000000001,0)))+1))</f>
        <v/>
      </c>
      <c r="AC30">
        <f>Rides!$B$28/Rides!$B$41*Rides!$B$29/Rides!$B$41*(Fares!$C$28+Fares!$C$29-INDEX(Fares!$C$2:$C$40,MIN(38,MAX(0,ROUNDUP(ROUND(Fares!$B$28+Fares!$B$29-3.2,1)-0.000000001,0)))+1))</f>
        <v/>
      </c>
      <c r="AD30">
        <f>Rides!$B$28/Rides!$B$41*Rides!$B$30/Rides!$B$41*(Fares!$C$28+Fares!$C$30-INDEX(Fares!$C$2:$C$40,MIN(38,MAX(0,ROUNDUP(ROUND(Fares!$B$28+Fares!$B$30-3.2,1)-0.000000001,0)))+1))</f>
        <v/>
      </c>
      <c r="AE30">
        <f>Rides!$B$28/Rides!$B$41*Rides!$B$31/Rides!$B$41*(Fares!$C$28+Fares!$C$31-INDEX(Fares!$C$2:$C$40,MIN(38,MAX(0,ROUNDUP(ROUND(Fares!$B$28+Fares!$B$31-3.2,1)-0.000000001,0)))+1))</f>
        <v/>
      </c>
      <c r="AF30">
        <f>Rides!$B$28/Rides!$B$41*Rides!$B$32/Rides!$B$41*(Fares!$C$28+Fares!$C$32-INDEX(Fares!$C$2:$C$40,MIN(38,MAX(0,ROUNDUP(ROUND(Fares!$B$28+Fares!$B$32-3.2,1)-0.000000001,0)))+1))</f>
        <v/>
      </c>
      <c r="AG30">
        <f>Rides!$B$28/Rides!$B$41*Rides!$B$33/Rides!$B$41*(Fares!$C$28+Fares!$C$33-INDEX(Fares!$C$2:$C$40,MIN(38,MAX(0,ROUNDUP(ROUND(Fares!$B$28+Fares!$B$33-3.2,1)-0.000000001,0)))+1))</f>
        <v/>
      </c>
      <c r="AH30">
        <f>Rides!$B$28/Rides!$B$41*Rides!$B$34/Rides!$B$41*(Fares!$C$28+Fares!$C$34-INDEX(Fares!$C$2:$C$40,MIN(38,MAX(0,ROUNDUP(ROUND(Fares!$B$28+Fares!$B$34-3.2,1)-0.000000001,0)))+1))</f>
        <v/>
      </c>
      <c r="AI30">
        <f>Rides!$B$28/Rides!$B$41*Rides!$B$35/Rides!$B$41*(Fares!$C$28+Fares!$C$35-INDEX(Fares!$C$2:$C$40,MIN(38,MAX(0,ROUNDUP(ROUND(Fares!$B$28+Fares!$B$35-3.2,1)-0.000000001,0)))+1))</f>
        <v/>
      </c>
      <c r="AJ30">
        <f>Rides!$B$28/Rides!$B$41*Rides!$B$36/Rides!$B$41*(Fares!$C$28+Fares!$C$36-INDEX(Fares!$C$2:$C$40,MIN(38,MAX(0,ROUNDUP(ROUND(Fares!$B$28+Fares!$B$36-3.2,1)-0.000000001,0)))+1))</f>
        <v/>
      </c>
      <c r="AK30">
        <f>Rides!$B$28/Rides!$B$41*Rides!$B$37/Rides!$B$41*(Fares!$C$28+Fares!$C$37-INDEX(Fares!$C$2:$C$40,MIN(38,MAX(0,ROUNDUP(ROUND(Fares!$B$28+Fares!$B$37-3.2,1)-0.000000001,0)))+1))</f>
        <v/>
      </c>
      <c r="AL30">
        <f>Rides!$B$28/Rides!$B$41*Rides!$B$38/Rides!$B$41*(Fares!$C$28+Fares!$C$38-INDEX(Fares!$C$2:$C$40,MIN(38,MAX(0,ROUNDUP(ROUND(Fares!$B$28+Fares!$B$38-3.2,1)-0.000000001,0)))+1))</f>
        <v/>
      </c>
      <c r="AM30">
        <f>Rides!$B$28/Rides!$B$41*Rides!$B$39/Rides!$B$41*(Fares!$C$28+Fares!$C$39-INDEX(Fares!$C$2:$C$40,MIN(38,MAX(0,ROUNDUP(ROUND(Fares!$B$28+Fares!$B$39-3.2,1)-0.000000001,0)))+1))</f>
        <v/>
      </c>
      <c r="AN30">
        <f>Rides!$B$28/Rides!$B$41*Rides!$B$40/Rides!$B$41*(Fares!$C$28+Fares!$C$40-INDEX(Fares!$C$2:$C$40,MIN(38,MAX(0,ROUNDUP(ROUND(Fares!$B$28+Fares!$B$40-3.2,1)-0.000000001,0)))+1))</f>
        <v/>
      </c>
    </row>
    <row r="31">
      <c r="A31">
        <f>Fares!$B$29</f>
        <v/>
      </c>
      <c r="B31">
        <f>Rides!$B$29/Rides!$B$41*Rides!$B$2/Rides!$B$41*(Fares!$C$29+Fares!$C$2-INDEX(Fares!$C$2:$C$40,MIN(38,MAX(0,ROUNDUP(ROUND(Fares!$B$29+Fares!$B$2-3.2,1)-0.000000001,0)))+1))</f>
        <v/>
      </c>
      <c r="C31">
        <f>Rides!$B$29/Rides!$B$41*Rides!$B$3/Rides!$B$41*(Fares!$C$29+Fares!$C$3-INDEX(Fares!$C$2:$C$40,MIN(38,MAX(0,ROUNDUP(ROUND(Fares!$B$29+Fares!$B$3-3.2,1)-0.000000001,0)))+1))</f>
        <v/>
      </c>
      <c r="D31">
        <f>Rides!$B$29/Rides!$B$41*Rides!$B$4/Rides!$B$41*(Fares!$C$29+Fares!$C$4-INDEX(Fares!$C$2:$C$40,MIN(38,MAX(0,ROUNDUP(ROUND(Fares!$B$29+Fares!$B$4-3.2,1)-0.000000001,0)))+1))</f>
        <v/>
      </c>
      <c r="E31">
        <f>Rides!$B$29/Rides!$B$41*Rides!$B$5/Rides!$B$41*(Fares!$C$29+Fares!$C$5-INDEX(Fares!$C$2:$C$40,MIN(38,MAX(0,ROUNDUP(ROUND(Fares!$B$29+Fares!$B$5-3.2,1)-0.000000001,0)))+1))</f>
        <v/>
      </c>
      <c r="F31">
        <f>Rides!$B$29/Rides!$B$41*Rides!$B$6/Rides!$B$41*(Fares!$C$29+Fares!$C$6-INDEX(Fares!$C$2:$C$40,MIN(38,MAX(0,ROUNDUP(ROUND(Fares!$B$29+Fares!$B$6-3.2,1)-0.000000001,0)))+1))</f>
        <v/>
      </c>
      <c r="G31">
        <f>Rides!$B$29/Rides!$B$41*Rides!$B$7/Rides!$B$41*(Fares!$C$29+Fares!$C$7-INDEX(Fares!$C$2:$C$40,MIN(38,MAX(0,ROUNDUP(ROUND(Fares!$B$29+Fares!$B$7-3.2,1)-0.000000001,0)))+1))</f>
        <v/>
      </c>
      <c r="H31">
        <f>Rides!$B$29/Rides!$B$41*Rides!$B$8/Rides!$B$41*(Fares!$C$29+Fares!$C$8-INDEX(Fares!$C$2:$C$40,MIN(38,MAX(0,ROUNDUP(ROUND(Fares!$B$29+Fares!$B$8-3.2,1)-0.000000001,0)))+1))</f>
        <v/>
      </c>
      <c r="I31">
        <f>Rides!$B$29/Rides!$B$41*Rides!$B$9/Rides!$B$41*(Fares!$C$29+Fares!$C$9-INDEX(Fares!$C$2:$C$40,MIN(38,MAX(0,ROUNDUP(ROUND(Fares!$B$29+Fares!$B$9-3.2,1)-0.000000001,0)))+1))</f>
        <v/>
      </c>
      <c r="J31">
        <f>Rides!$B$29/Rides!$B$41*Rides!$B$10/Rides!$B$41*(Fares!$C$29+Fares!$C$10-INDEX(Fares!$C$2:$C$40,MIN(38,MAX(0,ROUNDUP(ROUND(Fares!$B$29+Fares!$B$10-3.2,1)-0.000000001,0)))+1))</f>
        <v/>
      </c>
      <c r="K31">
        <f>Rides!$B$29/Rides!$B$41*Rides!$B$11/Rides!$B$41*(Fares!$C$29+Fares!$C$11-INDEX(Fares!$C$2:$C$40,MIN(38,MAX(0,ROUNDUP(ROUND(Fares!$B$29+Fares!$B$11-3.2,1)-0.000000001,0)))+1))</f>
        <v/>
      </c>
      <c r="L31">
        <f>Rides!$B$29/Rides!$B$41*Rides!$B$12/Rides!$B$41*(Fares!$C$29+Fares!$C$12-INDEX(Fares!$C$2:$C$40,MIN(38,MAX(0,ROUNDUP(ROUND(Fares!$B$29+Fares!$B$12-3.2,1)-0.000000001,0)))+1))</f>
        <v/>
      </c>
      <c r="M31">
        <f>Rides!$B$29/Rides!$B$41*Rides!$B$13/Rides!$B$41*(Fares!$C$29+Fares!$C$13-INDEX(Fares!$C$2:$C$40,MIN(38,MAX(0,ROUNDUP(ROUND(Fares!$B$29+Fares!$B$13-3.2,1)-0.000000001,0)))+1))</f>
        <v/>
      </c>
      <c r="N31">
        <f>Rides!$B$29/Rides!$B$41*Rides!$B$14/Rides!$B$41*(Fares!$C$29+Fares!$C$14-INDEX(Fares!$C$2:$C$40,MIN(38,MAX(0,ROUNDUP(ROUND(Fares!$B$29+Fares!$B$14-3.2,1)-0.000000001,0)))+1))</f>
        <v/>
      </c>
      <c r="O31">
        <f>Rides!$B$29/Rides!$B$41*Rides!$B$15/Rides!$B$41*(Fares!$C$29+Fares!$C$15-INDEX(Fares!$C$2:$C$40,MIN(38,MAX(0,ROUNDUP(ROUND(Fares!$B$29+Fares!$B$15-3.2,1)-0.000000001,0)))+1))</f>
        <v/>
      </c>
      <c r="P31">
        <f>Rides!$B$29/Rides!$B$41*Rides!$B$16/Rides!$B$41*(Fares!$C$29+Fares!$C$16-INDEX(Fares!$C$2:$C$40,MIN(38,MAX(0,ROUNDUP(ROUND(Fares!$B$29+Fares!$B$16-3.2,1)-0.000000001,0)))+1))</f>
        <v/>
      </c>
      <c r="Q31">
        <f>Rides!$B$29/Rides!$B$41*Rides!$B$17/Rides!$B$41*(Fares!$C$29+Fares!$C$17-INDEX(Fares!$C$2:$C$40,MIN(38,MAX(0,ROUNDUP(ROUND(Fares!$B$29+Fares!$B$17-3.2,1)-0.000000001,0)))+1))</f>
        <v/>
      </c>
      <c r="R31">
        <f>Rides!$B$29/Rides!$B$41*Rides!$B$18/Rides!$B$41*(Fares!$C$29+Fares!$C$18-INDEX(Fares!$C$2:$C$40,MIN(38,MAX(0,ROUNDUP(ROUND(Fares!$B$29+Fares!$B$18-3.2,1)-0.000000001,0)))+1))</f>
        <v/>
      </c>
      <c r="S31">
        <f>Rides!$B$29/Rides!$B$41*Rides!$B$19/Rides!$B$41*(Fares!$C$29+Fares!$C$19-INDEX(Fares!$C$2:$C$40,MIN(38,MAX(0,ROUNDUP(ROUND(Fares!$B$29+Fares!$B$19-3.2,1)-0.000000001,0)))+1))</f>
        <v/>
      </c>
      <c r="T31">
        <f>Rides!$B$29/Rides!$B$41*Rides!$B$20/Rides!$B$41*(Fares!$C$29+Fares!$C$20-INDEX(Fares!$C$2:$C$40,MIN(38,MAX(0,ROUNDUP(ROUND(Fares!$B$29+Fares!$B$20-3.2,1)-0.000000001,0)))+1))</f>
        <v/>
      </c>
      <c r="U31">
        <f>Rides!$B$29/Rides!$B$41*Rides!$B$21/Rides!$B$41*(Fares!$C$29+Fares!$C$21-INDEX(Fares!$C$2:$C$40,MIN(38,MAX(0,ROUNDUP(ROUND(Fares!$B$29+Fares!$B$21-3.2,1)-0.000000001,0)))+1))</f>
        <v/>
      </c>
      <c r="V31">
        <f>Rides!$B$29/Rides!$B$41*Rides!$B$22/Rides!$B$41*(Fares!$C$29+Fares!$C$22-INDEX(Fares!$C$2:$C$40,MIN(38,MAX(0,ROUNDUP(ROUND(Fares!$B$29+Fares!$B$22-3.2,1)-0.000000001,0)))+1))</f>
        <v/>
      </c>
      <c r="W31">
        <f>Rides!$B$29/Rides!$B$41*Rides!$B$23/Rides!$B$41*(Fares!$C$29+Fares!$C$23-INDEX(Fares!$C$2:$C$40,MIN(38,MAX(0,ROUNDUP(ROUND(Fares!$B$29+Fares!$B$23-3.2,1)-0.000000001,0)))+1))</f>
        <v/>
      </c>
      <c r="X31">
        <f>Rides!$B$29/Rides!$B$41*Rides!$B$24/Rides!$B$41*(Fares!$C$29+Fares!$C$24-INDEX(Fares!$C$2:$C$40,MIN(38,MAX(0,ROUNDUP(ROUND(Fares!$B$29+Fares!$B$24-3.2,1)-0.000000001,0)))+1))</f>
        <v/>
      </c>
      <c r="Y31">
        <f>Rides!$B$29/Rides!$B$41*Rides!$B$25/Rides!$B$41*(Fares!$C$29+Fares!$C$25-INDEX(Fares!$C$2:$C$40,MIN(38,MAX(0,ROUNDUP(ROUND(Fares!$B$29+Fares!$B$25-3.2,1)-0.000000001,0)))+1))</f>
        <v/>
      </c>
      <c r="Z31">
        <f>Rides!$B$29/Rides!$B$41*Rides!$B$26/Rides!$B$41*(Fares!$C$29+Fares!$C$26-INDEX(Fares!$C$2:$C$40,MIN(38,MAX(0,ROUNDUP(ROUND(Fares!$B$29+Fares!$B$26-3.2,1)-0.000000001,0)))+1))</f>
        <v/>
      </c>
      <c r="AA31">
        <f>Rides!$B$29/Rides!$B$41*Rides!$B$27/Rides!$B$41*(Fares!$C$29+Fares!$C$27-INDEX(Fares!$C$2:$C$40,MIN(38,MAX(0,ROUNDUP(ROUND(Fares!$B$29+Fares!$B$27-3.2,1)-0.000000001,0)))+1))</f>
        <v/>
      </c>
      <c r="AB31">
        <f>Rides!$B$29/Rides!$B$41*Rides!$B$28/Rides!$B$41*(Fares!$C$29+Fares!$C$28-INDEX(Fares!$C$2:$C$40,MIN(38,MAX(0,ROUNDUP(ROUND(Fares!$B$29+Fares!$B$28-3.2,1)-0.000000001,0)))+1))</f>
        <v/>
      </c>
      <c r="AC31">
        <f>Rides!$B$29/Rides!$B$41*Rides!$B$29/Rides!$B$41*(Fares!$C$29+Fares!$C$29-INDEX(Fares!$C$2:$C$40,MIN(38,MAX(0,ROUNDUP(ROUND(Fares!$B$29+Fares!$B$29-3.2,1)-0.000000001,0)))+1))</f>
        <v/>
      </c>
      <c r="AD31">
        <f>Rides!$B$29/Rides!$B$41*Rides!$B$30/Rides!$B$41*(Fares!$C$29+Fares!$C$30-INDEX(Fares!$C$2:$C$40,MIN(38,MAX(0,ROUNDUP(ROUND(Fares!$B$29+Fares!$B$30-3.2,1)-0.000000001,0)))+1))</f>
        <v/>
      </c>
      <c r="AE31">
        <f>Rides!$B$29/Rides!$B$41*Rides!$B$31/Rides!$B$41*(Fares!$C$29+Fares!$C$31-INDEX(Fares!$C$2:$C$40,MIN(38,MAX(0,ROUNDUP(ROUND(Fares!$B$29+Fares!$B$31-3.2,1)-0.000000001,0)))+1))</f>
        <v/>
      </c>
      <c r="AF31">
        <f>Rides!$B$29/Rides!$B$41*Rides!$B$32/Rides!$B$41*(Fares!$C$29+Fares!$C$32-INDEX(Fares!$C$2:$C$40,MIN(38,MAX(0,ROUNDUP(ROUND(Fares!$B$29+Fares!$B$32-3.2,1)-0.000000001,0)))+1))</f>
        <v/>
      </c>
      <c r="AG31">
        <f>Rides!$B$29/Rides!$B$41*Rides!$B$33/Rides!$B$41*(Fares!$C$29+Fares!$C$33-INDEX(Fares!$C$2:$C$40,MIN(38,MAX(0,ROUNDUP(ROUND(Fares!$B$29+Fares!$B$33-3.2,1)-0.000000001,0)))+1))</f>
        <v/>
      </c>
      <c r="AH31">
        <f>Rides!$B$29/Rides!$B$41*Rides!$B$34/Rides!$B$41*(Fares!$C$29+Fares!$C$34-INDEX(Fares!$C$2:$C$40,MIN(38,MAX(0,ROUNDUP(ROUND(Fares!$B$29+Fares!$B$34-3.2,1)-0.000000001,0)))+1))</f>
        <v/>
      </c>
      <c r="AI31">
        <f>Rides!$B$29/Rides!$B$41*Rides!$B$35/Rides!$B$41*(Fares!$C$29+Fares!$C$35-INDEX(Fares!$C$2:$C$40,MIN(38,MAX(0,ROUNDUP(ROUND(Fares!$B$29+Fares!$B$35-3.2,1)-0.000000001,0)))+1))</f>
        <v/>
      </c>
      <c r="AJ31">
        <f>Rides!$B$29/Rides!$B$41*Rides!$B$36/Rides!$B$41*(Fares!$C$29+Fares!$C$36-INDEX(Fares!$C$2:$C$40,MIN(38,MAX(0,ROUNDUP(ROUND(Fares!$B$29+Fares!$B$36-3.2,1)-0.000000001,0)))+1))</f>
        <v/>
      </c>
      <c r="AK31">
        <f>Rides!$B$29/Rides!$B$41*Rides!$B$37/Rides!$B$41*(Fares!$C$29+Fares!$C$37-INDEX(Fares!$C$2:$C$40,MIN(38,MAX(0,ROUNDUP(ROUND(Fares!$B$29+Fares!$B$37-3.2,1)-0.000000001,0)))+1))</f>
        <v/>
      </c>
      <c r="AL31">
        <f>Rides!$B$29/Rides!$B$41*Rides!$B$38/Rides!$B$41*(Fares!$C$29+Fares!$C$38-INDEX(Fares!$C$2:$C$40,MIN(38,MAX(0,ROUNDUP(ROUND(Fares!$B$29+Fares!$B$38-3.2,1)-0.000000001,0)))+1))</f>
        <v/>
      </c>
      <c r="AM31">
        <f>Rides!$B$29/Rides!$B$41*Rides!$B$39/Rides!$B$41*(Fares!$C$29+Fares!$C$39-INDEX(Fares!$C$2:$C$40,MIN(38,MAX(0,ROUNDUP(ROUND(Fares!$B$29+Fares!$B$39-3.2,1)-0.000000001,0)))+1))</f>
        <v/>
      </c>
      <c r="AN31">
        <f>Rides!$B$29/Rides!$B$41*Rides!$B$40/Rides!$B$41*(Fares!$C$29+Fares!$C$40-INDEX(Fares!$C$2:$C$40,MIN(38,MAX(0,ROUNDUP(ROUND(Fares!$B$29+Fares!$B$40-3.2,1)-0.000000001,0)))+1))</f>
        <v/>
      </c>
    </row>
    <row r="32">
      <c r="A32">
        <f>Fares!$B$30</f>
        <v/>
      </c>
      <c r="B32">
        <f>Rides!$B$30/Rides!$B$41*Rides!$B$2/Rides!$B$41*(Fares!$C$30+Fares!$C$2-INDEX(Fares!$C$2:$C$40,MIN(38,MAX(0,ROUNDUP(ROUND(Fares!$B$30+Fares!$B$2-3.2,1)-0.000000001,0)))+1))</f>
        <v/>
      </c>
      <c r="C32">
        <f>Rides!$B$30/Rides!$B$41*Rides!$B$3/Rides!$B$41*(Fares!$C$30+Fares!$C$3-INDEX(Fares!$C$2:$C$40,MIN(38,MAX(0,ROUNDUP(ROUND(Fares!$B$30+Fares!$B$3-3.2,1)-0.000000001,0)))+1))</f>
        <v/>
      </c>
      <c r="D32">
        <f>Rides!$B$30/Rides!$B$41*Rides!$B$4/Rides!$B$41*(Fares!$C$30+Fares!$C$4-INDEX(Fares!$C$2:$C$40,MIN(38,MAX(0,ROUNDUP(ROUND(Fares!$B$30+Fares!$B$4-3.2,1)-0.000000001,0)))+1))</f>
        <v/>
      </c>
      <c r="E32">
        <f>Rides!$B$30/Rides!$B$41*Rides!$B$5/Rides!$B$41*(Fares!$C$30+Fares!$C$5-INDEX(Fares!$C$2:$C$40,MIN(38,MAX(0,ROUNDUP(ROUND(Fares!$B$30+Fares!$B$5-3.2,1)-0.000000001,0)))+1))</f>
        <v/>
      </c>
      <c r="F32">
        <f>Rides!$B$30/Rides!$B$41*Rides!$B$6/Rides!$B$41*(Fares!$C$30+Fares!$C$6-INDEX(Fares!$C$2:$C$40,MIN(38,MAX(0,ROUNDUP(ROUND(Fares!$B$30+Fares!$B$6-3.2,1)-0.000000001,0)))+1))</f>
        <v/>
      </c>
      <c r="G32">
        <f>Rides!$B$30/Rides!$B$41*Rides!$B$7/Rides!$B$41*(Fares!$C$30+Fares!$C$7-INDEX(Fares!$C$2:$C$40,MIN(38,MAX(0,ROUNDUP(ROUND(Fares!$B$30+Fares!$B$7-3.2,1)-0.000000001,0)))+1))</f>
        <v/>
      </c>
      <c r="H32">
        <f>Rides!$B$30/Rides!$B$41*Rides!$B$8/Rides!$B$41*(Fares!$C$30+Fares!$C$8-INDEX(Fares!$C$2:$C$40,MIN(38,MAX(0,ROUNDUP(ROUND(Fares!$B$30+Fares!$B$8-3.2,1)-0.000000001,0)))+1))</f>
        <v/>
      </c>
      <c r="I32">
        <f>Rides!$B$30/Rides!$B$41*Rides!$B$9/Rides!$B$41*(Fares!$C$30+Fares!$C$9-INDEX(Fares!$C$2:$C$40,MIN(38,MAX(0,ROUNDUP(ROUND(Fares!$B$30+Fares!$B$9-3.2,1)-0.000000001,0)))+1))</f>
        <v/>
      </c>
      <c r="J32">
        <f>Rides!$B$30/Rides!$B$41*Rides!$B$10/Rides!$B$41*(Fares!$C$30+Fares!$C$10-INDEX(Fares!$C$2:$C$40,MIN(38,MAX(0,ROUNDUP(ROUND(Fares!$B$30+Fares!$B$10-3.2,1)-0.000000001,0)))+1))</f>
        <v/>
      </c>
      <c r="K32">
        <f>Rides!$B$30/Rides!$B$41*Rides!$B$11/Rides!$B$41*(Fares!$C$30+Fares!$C$11-INDEX(Fares!$C$2:$C$40,MIN(38,MAX(0,ROUNDUP(ROUND(Fares!$B$30+Fares!$B$11-3.2,1)-0.000000001,0)))+1))</f>
        <v/>
      </c>
      <c r="L32">
        <f>Rides!$B$30/Rides!$B$41*Rides!$B$12/Rides!$B$41*(Fares!$C$30+Fares!$C$12-INDEX(Fares!$C$2:$C$40,MIN(38,MAX(0,ROUNDUP(ROUND(Fares!$B$30+Fares!$B$12-3.2,1)-0.000000001,0)))+1))</f>
        <v/>
      </c>
      <c r="M32">
        <f>Rides!$B$30/Rides!$B$41*Rides!$B$13/Rides!$B$41*(Fares!$C$30+Fares!$C$13-INDEX(Fares!$C$2:$C$40,MIN(38,MAX(0,ROUNDUP(ROUND(Fares!$B$30+Fares!$B$13-3.2,1)-0.000000001,0)))+1))</f>
        <v/>
      </c>
      <c r="N32">
        <f>Rides!$B$30/Rides!$B$41*Rides!$B$14/Rides!$B$41*(Fares!$C$30+Fares!$C$14-INDEX(Fares!$C$2:$C$40,MIN(38,MAX(0,ROUNDUP(ROUND(Fares!$B$30+Fares!$B$14-3.2,1)-0.000000001,0)))+1))</f>
        <v/>
      </c>
      <c r="O32">
        <f>Rides!$B$30/Rides!$B$41*Rides!$B$15/Rides!$B$41*(Fares!$C$30+Fares!$C$15-INDEX(Fares!$C$2:$C$40,MIN(38,MAX(0,ROUNDUP(ROUND(Fares!$B$30+Fares!$B$15-3.2,1)-0.000000001,0)))+1))</f>
        <v/>
      </c>
      <c r="P32">
        <f>Rides!$B$30/Rides!$B$41*Rides!$B$16/Rides!$B$41*(Fares!$C$30+Fares!$C$16-INDEX(Fares!$C$2:$C$40,MIN(38,MAX(0,ROUNDUP(ROUND(Fares!$B$30+Fares!$B$16-3.2,1)-0.000000001,0)))+1))</f>
        <v/>
      </c>
      <c r="Q32">
        <f>Rides!$B$30/Rides!$B$41*Rides!$B$17/Rides!$B$41*(Fares!$C$30+Fares!$C$17-INDEX(Fares!$C$2:$C$40,MIN(38,MAX(0,ROUNDUP(ROUND(Fares!$B$30+Fares!$B$17-3.2,1)-0.000000001,0)))+1))</f>
        <v/>
      </c>
      <c r="R32">
        <f>Rides!$B$30/Rides!$B$41*Rides!$B$18/Rides!$B$41*(Fares!$C$30+Fares!$C$18-INDEX(Fares!$C$2:$C$40,MIN(38,MAX(0,ROUNDUP(ROUND(Fares!$B$30+Fares!$B$18-3.2,1)-0.000000001,0)))+1))</f>
        <v/>
      </c>
      <c r="S32">
        <f>Rides!$B$30/Rides!$B$41*Rides!$B$19/Rides!$B$41*(Fares!$C$30+Fares!$C$19-INDEX(Fares!$C$2:$C$40,MIN(38,MAX(0,ROUNDUP(ROUND(Fares!$B$30+Fares!$B$19-3.2,1)-0.000000001,0)))+1))</f>
        <v/>
      </c>
      <c r="T32">
        <f>Rides!$B$30/Rides!$B$41*Rides!$B$20/Rides!$B$41*(Fares!$C$30+Fares!$C$20-INDEX(Fares!$C$2:$C$40,MIN(38,MAX(0,ROUNDUP(ROUND(Fares!$B$30+Fares!$B$20-3.2,1)-0.000000001,0)))+1))</f>
        <v/>
      </c>
      <c r="U32">
        <f>Rides!$B$30/Rides!$B$41*Rides!$B$21/Rides!$B$41*(Fares!$C$30+Fares!$C$21-INDEX(Fares!$C$2:$C$40,MIN(38,MAX(0,ROUNDUP(ROUND(Fares!$B$30+Fares!$B$21-3.2,1)-0.000000001,0)))+1))</f>
        <v/>
      </c>
      <c r="V32">
        <f>Rides!$B$30/Rides!$B$41*Rides!$B$22/Rides!$B$41*(Fares!$C$30+Fares!$C$22-INDEX(Fares!$C$2:$C$40,MIN(38,MAX(0,ROUNDUP(ROUND(Fares!$B$30+Fares!$B$22-3.2,1)-0.000000001,0)))+1))</f>
        <v/>
      </c>
      <c r="W32">
        <f>Rides!$B$30/Rides!$B$41*Rides!$B$23/Rides!$B$41*(Fares!$C$30+Fares!$C$23-INDEX(Fares!$C$2:$C$40,MIN(38,MAX(0,ROUNDUP(ROUND(Fares!$B$30+Fares!$B$23-3.2,1)-0.000000001,0)))+1))</f>
        <v/>
      </c>
      <c r="X32">
        <f>Rides!$B$30/Rides!$B$41*Rides!$B$24/Rides!$B$41*(Fares!$C$30+Fares!$C$24-INDEX(Fares!$C$2:$C$40,MIN(38,MAX(0,ROUNDUP(ROUND(Fares!$B$30+Fares!$B$24-3.2,1)-0.000000001,0)))+1))</f>
        <v/>
      </c>
      <c r="Y32">
        <f>Rides!$B$30/Rides!$B$41*Rides!$B$25/Rides!$B$41*(Fares!$C$30+Fares!$C$25-INDEX(Fares!$C$2:$C$40,MIN(38,MAX(0,ROUNDUP(ROUND(Fares!$B$30+Fares!$B$25-3.2,1)-0.000000001,0)))+1))</f>
        <v/>
      </c>
      <c r="Z32">
        <f>Rides!$B$30/Rides!$B$41*Rides!$B$26/Rides!$B$41*(Fares!$C$30+Fares!$C$26-INDEX(Fares!$C$2:$C$40,MIN(38,MAX(0,ROUNDUP(ROUND(Fares!$B$30+Fares!$B$26-3.2,1)-0.000000001,0)))+1))</f>
        <v/>
      </c>
      <c r="AA32">
        <f>Rides!$B$30/Rides!$B$41*Rides!$B$27/Rides!$B$41*(Fares!$C$30+Fares!$C$27-INDEX(Fares!$C$2:$C$40,MIN(38,MAX(0,ROUNDUP(ROUND(Fares!$B$30+Fares!$B$27-3.2,1)-0.000000001,0)))+1))</f>
        <v/>
      </c>
      <c r="AB32">
        <f>Rides!$B$30/Rides!$B$41*Rides!$B$28/Rides!$B$41*(Fares!$C$30+Fares!$C$28-INDEX(Fares!$C$2:$C$40,MIN(38,MAX(0,ROUNDUP(ROUND(Fares!$B$30+Fares!$B$28-3.2,1)-0.000000001,0)))+1))</f>
        <v/>
      </c>
      <c r="AC32">
        <f>Rides!$B$30/Rides!$B$41*Rides!$B$29/Rides!$B$41*(Fares!$C$30+Fares!$C$29-INDEX(Fares!$C$2:$C$40,MIN(38,MAX(0,ROUNDUP(ROUND(Fares!$B$30+Fares!$B$29-3.2,1)-0.000000001,0)))+1))</f>
        <v/>
      </c>
      <c r="AD32">
        <f>Rides!$B$30/Rides!$B$41*Rides!$B$30/Rides!$B$41*(Fares!$C$30+Fares!$C$30-INDEX(Fares!$C$2:$C$40,MIN(38,MAX(0,ROUNDUP(ROUND(Fares!$B$30+Fares!$B$30-3.2,1)-0.000000001,0)))+1))</f>
        <v/>
      </c>
      <c r="AE32">
        <f>Rides!$B$30/Rides!$B$41*Rides!$B$31/Rides!$B$41*(Fares!$C$30+Fares!$C$31-INDEX(Fares!$C$2:$C$40,MIN(38,MAX(0,ROUNDUP(ROUND(Fares!$B$30+Fares!$B$31-3.2,1)-0.000000001,0)))+1))</f>
        <v/>
      </c>
      <c r="AF32">
        <f>Rides!$B$30/Rides!$B$41*Rides!$B$32/Rides!$B$41*(Fares!$C$30+Fares!$C$32-INDEX(Fares!$C$2:$C$40,MIN(38,MAX(0,ROUNDUP(ROUND(Fares!$B$30+Fares!$B$32-3.2,1)-0.000000001,0)))+1))</f>
        <v/>
      </c>
      <c r="AG32">
        <f>Rides!$B$30/Rides!$B$41*Rides!$B$33/Rides!$B$41*(Fares!$C$30+Fares!$C$33-INDEX(Fares!$C$2:$C$40,MIN(38,MAX(0,ROUNDUP(ROUND(Fares!$B$30+Fares!$B$33-3.2,1)-0.000000001,0)))+1))</f>
        <v/>
      </c>
      <c r="AH32">
        <f>Rides!$B$30/Rides!$B$41*Rides!$B$34/Rides!$B$41*(Fares!$C$30+Fares!$C$34-INDEX(Fares!$C$2:$C$40,MIN(38,MAX(0,ROUNDUP(ROUND(Fares!$B$30+Fares!$B$34-3.2,1)-0.000000001,0)))+1))</f>
        <v/>
      </c>
      <c r="AI32">
        <f>Rides!$B$30/Rides!$B$41*Rides!$B$35/Rides!$B$41*(Fares!$C$30+Fares!$C$35-INDEX(Fares!$C$2:$C$40,MIN(38,MAX(0,ROUNDUP(ROUND(Fares!$B$30+Fares!$B$35-3.2,1)-0.000000001,0)))+1))</f>
        <v/>
      </c>
      <c r="AJ32">
        <f>Rides!$B$30/Rides!$B$41*Rides!$B$36/Rides!$B$41*(Fares!$C$30+Fares!$C$36-INDEX(Fares!$C$2:$C$40,MIN(38,MAX(0,ROUNDUP(ROUND(Fares!$B$30+Fares!$B$36-3.2,1)-0.000000001,0)))+1))</f>
        <v/>
      </c>
      <c r="AK32">
        <f>Rides!$B$30/Rides!$B$41*Rides!$B$37/Rides!$B$41*(Fares!$C$30+Fares!$C$37-INDEX(Fares!$C$2:$C$40,MIN(38,MAX(0,ROUNDUP(ROUND(Fares!$B$30+Fares!$B$37-3.2,1)-0.000000001,0)))+1))</f>
        <v/>
      </c>
      <c r="AL32">
        <f>Rides!$B$30/Rides!$B$41*Rides!$B$38/Rides!$B$41*(Fares!$C$30+Fares!$C$38-INDEX(Fares!$C$2:$C$40,MIN(38,MAX(0,ROUNDUP(ROUND(Fares!$B$30+Fares!$B$38-3.2,1)-0.000000001,0)))+1))</f>
        <v/>
      </c>
      <c r="AM32">
        <f>Rides!$B$30/Rides!$B$41*Rides!$B$39/Rides!$B$41*(Fares!$C$30+Fares!$C$39-INDEX(Fares!$C$2:$C$40,MIN(38,MAX(0,ROUNDUP(ROUND(Fares!$B$30+Fares!$B$39-3.2,1)-0.000000001,0)))+1))</f>
        <v/>
      </c>
      <c r="AN32">
        <f>Rides!$B$30/Rides!$B$41*Rides!$B$40/Rides!$B$41*(Fares!$C$30+Fares!$C$40-INDEX(Fares!$C$2:$C$40,MIN(38,MAX(0,ROUNDUP(ROUND(Fares!$B$30+Fares!$B$40-3.2,1)-0.000000001,0)))+1))</f>
        <v/>
      </c>
    </row>
    <row r="33">
      <c r="A33">
        <f>Fares!$B$31</f>
        <v/>
      </c>
      <c r="B33">
        <f>Rides!$B$31/Rides!$B$41*Rides!$B$2/Rides!$B$41*(Fares!$C$31+Fares!$C$2-INDEX(Fares!$C$2:$C$40,MIN(38,MAX(0,ROUNDUP(ROUND(Fares!$B$31+Fares!$B$2-3.2,1)-0.000000001,0)))+1))</f>
        <v/>
      </c>
      <c r="C33">
        <f>Rides!$B$31/Rides!$B$41*Rides!$B$3/Rides!$B$41*(Fares!$C$31+Fares!$C$3-INDEX(Fares!$C$2:$C$40,MIN(38,MAX(0,ROUNDUP(ROUND(Fares!$B$31+Fares!$B$3-3.2,1)-0.000000001,0)))+1))</f>
        <v/>
      </c>
      <c r="D33">
        <f>Rides!$B$31/Rides!$B$41*Rides!$B$4/Rides!$B$41*(Fares!$C$31+Fares!$C$4-INDEX(Fares!$C$2:$C$40,MIN(38,MAX(0,ROUNDUP(ROUND(Fares!$B$31+Fares!$B$4-3.2,1)-0.000000001,0)))+1))</f>
        <v/>
      </c>
      <c r="E33">
        <f>Rides!$B$31/Rides!$B$41*Rides!$B$5/Rides!$B$41*(Fares!$C$31+Fares!$C$5-INDEX(Fares!$C$2:$C$40,MIN(38,MAX(0,ROUNDUP(ROUND(Fares!$B$31+Fares!$B$5-3.2,1)-0.000000001,0)))+1))</f>
        <v/>
      </c>
      <c r="F33">
        <f>Rides!$B$31/Rides!$B$41*Rides!$B$6/Rides!$B$41*(Fares!$C$31+Fares!$C$6-INDEX(Fares!$C$2:$C$40,MIN(38,MAX(0,ROUNDUP(ROUND(Fares!$B$31+Fares!$B$6-3.2,1)-0.000000001,0)))+1))</f>
        <v/>
      </c>
      <c r="G33">
        <f>Rides!$B$31/Rides!$B$41*Rides!$B$7/Rides!$B$41*(Fares!$C$31+Fares!$C$7-INDEX(Fares!$C$2:$C$40,MIN(38,MAX(0,ROUNDUP(ROUND(Fares!$B$31+Fares!$B$7-3.2,1)-0.000000001,0)))+1))</f>
        <v/>
      </c>
      <c r="H33">
        <f>Rides!$B$31/Rides!$B$41*Rides!$B$8/Rides!$B$41*(Fares!$C$31+Fares!$C$8-INDEX(Fares!$C$2:$C$40,MIN(38,MAX(0,ROUNDUP(ROUND(Fares!$B$31+Fares!$B$8-3.2,1)-0.000000001,0)))+1))</f>
        <v/>
      </c>
      <c r="I33">
        <f>Rides!$B$31/Rides!$B$41*Rides!$B$9/Rides!$B$41*(Fares!$C$31+Fares!$C$9-INDEX(Fares!$C$2:$C$40,MIN(38,MAX(0,ROUNDUP(ROUND(Fares!$B$31+Fares!$B$9-3.2,1)-0.000000001,0)))+1))</f>
        <v/>
      </c>
      <c r="J33">
        <f>Rides!$B$31/Rides!$B$41*Rides!$B$10/Rides!$B$41*(Fares!$C$31+Fares!$C$10-INDEX(Fares!$C$2:$C$40,MIN(38,MAX(0,ROUNDUP(ROUND(Fares!$B$31+Fares!$B$10-3.2,1)-0.000000001,0)))+1))</f>
        <v/>
      </c>
      <c r="K33">
        <f>Rides!$B$31/Rides!$B$41*Rides!$B$11/Rides!$B$41*(Fares!$C$31+Fares!$C$11-INDEX(Fares!$C$2:$C$40,MIN(38,MAX(0,ROUNDUP(ROUND(Fares!$B$31+Fares!$B$11-3.2,1)-0.000000001,0)))+1))</f>
        <v/>
      </c>
      <c r="L33">
        <f>Rides!$B$31/Rides!$B$41*Rides!$B$12/Rides!$B$41*(Fares!$C$31+Fares!$C$12-INDEX(Fares!$C$2:$C$40,MIN(38,MAX(0,ROUNDUP(ROUND(Fares!$B$31+Fares!$B$12-3.2,1)-0.000000001,0)))+1))</f>
        <v/>
      </c>
      <c r="M33">
        <f>Rides!$B$31/Rides!$B$41*Rides!$B$13/Rides!$B$41*(Fares!$C$31+Fares!$C$13-INDEX(Fares!$C$2:$C$40,MIN(38,MAX(0,ROUNDUP(ROUND(Fares!$B$31+Fares!$B$13-3.2,1)-0.000000001,0)))+1))</f>
        <v/>
      </c>
      <c r="N33">
        <f>Rides!$B$31/Rides!$B$41*Rides!$B$14/Rides!$B$41*(Fares!$C$31+Fares!$C$14-INDEX(Fares!$C$2:$C$40,MIN(38,MAX(0,ROUNDUP(ROUND(Fares!$B$31+Fares!$B$14-3.2,1)-0.000000001,0)))+1))</f>
        <v/>
      </c>
      <c r="O33">
        <f>Rides!$B$31/Rides!$B$41*Rides!$B$15/Rides!$B$41*(Fares!$C$31+Fares!$C$15-INDEX(Fares!$C$2:$C$40,MIN(38,MAX(0,ROUNDUP(ROUND(Fares!$B$31+Fares!$B$15-3.2,1)-0.000000001,0)))+1))</f>
        <v/>
      </c>
      <c r="P33">
        <f>Rides!$B$31/Rides!$B$41*Rides!$B$16/Rides!$B$41*(Fares!$C$31+Fares!$C$16-INDEX(Fares!$C$2:$C$40,MIN(38,MAX(0,ROUNDUP(ROUND(Fares!$B$31+Fares!$B$16-3.2,1)-0.000000001,0)))+1))</f>
        <v/>
      </c>
      <c r="Q33">
        <f>Rides!$B$31/Rides!$B$41*Rides!$B$17/Rides!$B$41*(Fares!$C$31+Fares!$C$17-INDEX(Fares!$C$2:$C$40,MIN(38,MAX(0,ROUNDUP(ROUND(Fares!$B$31+Fares!$B$17-3.2,1)-0.000000001,0)))+1))</f>
        <v/>
      </c>
      <c r="R33">
        <f>Rides!$B$31/Rides!$B$41*Rides!$B$18/Rides!$B$41*(Fares!$C$31+Fares!$C$18-INDEX(Fares!$C$2:$C$40,MIN(38,MAX(0,ROUNDUP(ROUND(Fares!$B$31+Fares!$B$18-3.2,1)-0.000000001,0)))+1))</f>
        <v/>
      </c>
      <c r="S33">
        <f>Rides!$B$31/Rides!$B$41*Rides!$B$19/Rides!$B$41*(Fares!$C$31+Fares!$C$19-INDEX(Fares!$C$2:$C$40,MIN(38,MAX(0,ROUNDUP(ROUND(Fares!$B$31+Fares!$B$19-3.2,1)-0.000000001,0)))+1))</f>
        <v/>
      </c>
      <c r="T33">
        <f>Rides!$B$31/Rides!$B$41*Rides!$B$20/Rides!$B$41*(Fares!$C$31+Fares!$C$20-INDEX(Fares!$C$2:$C$40,MIN(38,MAX(0,ROUNDUP(ROUND(Fares!$B$31+Fares!$B$20-3.2,1)-0.000000001,0)))+1))</f>
        <v/>
      </c>
      <c r="U33">
        <f>Rides!$B$31/Rides!$B$41*Rides!$B$21/Rides!$B$41*(Fares!$C$31+Fares!$C$21-INDEX(Fares!$C$2:$C$40,MIN(38,MAX(0,ROUNDUP(ROUND(Fares!$B$31+Fares!$B$21-3.2,1)-0.000000001,0)))+1))</f>
        <v/>
      </c>
      <c r="V33">
        <f>Rides!$B$31/Rides!$B$41*Rides!$B$22/Rides!$B$41*(Fares!$C$31+Fares!$C$22-INDEX(Fares!$C$2:$C$40,MIN(38,MAX(0,ROUNDUP(ROUND(Fares!$B$31+Fares!$B$22-3.2,1)-0.000000001,0)))+1))</f>
        <v/>
      </c>
      <c r="W33">
        <f>Rides!$B$31/Rides!$B$41*Rides!$B$23/Rides!$B$41*(Fares!$C$31+Fares!$C$23-INDEX(Fares!$C$2:$C$40,MIN(38,MAX(0,ROUNDUP(ROUND(Fares!$B$31+Fares!$B$23-3.2,1)-0.000000001,0)))+1))</f>
        <v/>
      </c>
      <c r="X33">
        <f>Rides!$B$31/Rides!$B$41*Rides!$B$24/Rides!$B$41*(Fares!$C$31+Fares!$C$24-INDEX(Fares!$C$2:$C$40,MIN(38,MAX(0,ROUNDUP(ROUND(Fares!$B$31+Fares!$B$24-3.2,1)-0.000000001,0)))+1))</f>
        <v/>
      </c>
      <c r="Y33">
        <f>Rides!$B$31/Rides!$B$41*Rides!$B$25/Rides!$B$41*(Fares!$C$31+Fares!$C$25-INDEX(Fares!$C$2:$C$40,MIN(38,MAX(0,ROUNDUP(ROUND(Fares!$B$31+Fares!$B$25-3.2,1)-0.000000001,0)))+1))</f>
        <v/>
      </c>
      <c r="Z33">
        <f>Rides!$B$31/Rides!$B$41*Rides!$B$26/Rides!$B$41*(Fares!$C$31+Fares!$C$26-INDEX(Fares!$C$2:$C$40,MIN(38,MAX(0,ROUNDUP(ROUND(Fares!$B$31+Fares!$B$26-3.2,1)-0.000000001,0)))+1))</f>
        <v/>
      </c>
      <c r="AA33">
        <f>Rides!$B$31/Rides!$B$41*Rides!$B$27/Rides!$B$41*(Fares!$C$31+Fares!$C$27-INDEX(Fares!$C$2:$C$40,MIN(38,MAX(0,ROUNDUP(ROUND(Fares!$B$31+Fares!$B$27-3.2,1)-0.000000001,0)))+1))</f>
        <v/>
      </c>
      <c r="AB33">
        <f>Rides!$B$31/Rides!$B$41*Rides!$B$28/Rides!$B$41*(Fares!$C$31+Fares!$C$28-INDEX(Fares!$C$2:$C$40,MIN(38,MAX(0,ROUNDUP(ROUND(Fares!$B$31+Fares!$B$28-3.2,1)-0.000000001,0)))+1))</f>
        <v/>
      </c>
      <c r="AC33">
        <f>Rides!$B$31/Rides!$B$41*Rides!$B$29/Rides!$B$41*(Fares!$C$31+Fares!$C$29-INDEX(Fares!$C$2:$C$40,MIN(38,MAX(0,ROUNDUP(ROUND(Fares!$B$31+Fares!$B$29-3.2,1)-0.000000001,0)))+1))</f>
        <v/>
      </c>
      <c r="AD33">
        <f>Rides!$B$31/Rides!$B$41*Rides!$B$30/Rides!$B$41*(Fares!$C$31+Fares!$C$30-INDEX(Fares!$C$2:$C$40,MIN(38,MAX(0,ROUNDUP(ROUND(Fares!$B$31+Fares!$B$30-3.2,1)-0.000000001,0)))+1))</f>
        <v/>
      </c>
      <c r="AE33">
        <f>Rides!$B$31/Rides!$B$41*Rides!$B$31/Rides!$B$41*(Fares!$C$31+Fares!$C$31-INDEX(Fares!$C$2:$C$40,MIN(38,MAX(0,ROUNDUP(ROUND(Fares!$B$31+Fares!$B$31-3.2,1)-0.000000001,0)))+1))</f>
        <v/>
      </c>
      <c r="AF33">
        <f>Rides!$B$31/Rides!$B$41*Rides!$B$32/Rides!$B$41*(Fares!$C$31+Fares!$C$32-INDEX(Fares!$C$2:$C$40,MIN(38,MAX(0,ROUNDUP(ROUND(Fares!$B$31+Fares!$B$32-3.2,1)-0.000000001,0)))+1))</f>
        <v/>
      </c>
      <c r="AG33">
        <f>Rides!$B$31/Rides!$B$41*Rides!$B$33/Rides!$B$41*(Fares!$C$31+Fares!$C$33-INDEX(Fares!$C$2:$C$40,MIN(38,MAX(0,ROUNDUP(ROUND(Fares!$B$31+Fares!$B$33-3.2,1)-0.000000001,0)))+1))</f>
        <v/>
      </c>
      <c r="AH33">
        <f>Rides!$B$31/Rides!$B$41*Rides!$B$34/Rides!$B$41*(Fares!$C$31+Fares!$C$34-INDEX(Fares!$C$2:$C$40,MIN(38,MAX(0,ROUNDUP(ROUND(Fares!$B$31+Fares!$B$34-3.2,1)-0.000000001,0)))+1))</f>
        <v/>
      </c>
      <c r="AI33">
        <f>Rides!$B$31/Rides!$B$41*Rides!$B$35/Rides!$B$41*(Fares!$C$31+Fares!$C$35-INDEX(Fares!$C$2:$C$40,MIN(38,MAX(0,ROUNDUP(ROUND(Fares!$B$31+Fares!$B$35-3.2,1)-0.000000001,0)))+1))</f>
        <v/>
      </c>
      <c r="AJ33">
        <f>Rides!$B$31/Rides!$B$41*Rides!$B$36/Rides!$B$41*(Fares!$C$31+Fares!$C$36-INDEX(Fares!$C$2:$C$40,MIN(38,MAX(0,ROUNDUP(ROUND(Fares!$B$31+Fares!$B$36-3.2,1)-0.000000001,0)))+1))</f>
        <v/>
      </c>
      <c r="AK33">
        <f>Rides!$B$31/Rides!$B$41*Rides!$B$37/Rides!$B$41*(Fares!$C$31+Fares!$C$37-INDEX(Fares!$C$2:$C$40,MIN(38,MAX(0,ROUNDUP(ROUND(Fares!$B$31+Fares!$B$37-3.2,1)-0.000000001,0)))+1))</f>
        <v/>
      </c>
      <c r="AL33">
        <f>Rides!$B$31/Rides!$B$41*Rides!$B$38/Rides!$B$41*(Fares!$C$31+Fares!$C$38-INDEX(Fares!$C$2:$C$40,MIN(38,MAX(0,ROUNDUP(ROUND(Fares!$B$31+Fares!$B$38-3.2,1)-0.000000001,0)))+1))</f>
        <v/>
      </c>
      <c r="AM33">
        <f>Rides!$B$31/Rides!$B$41*Rides!$B$39/Rides!$B$41*(Fares!$C$31+Fares!$C$39-INDEX(Fares!$C$2:$C$40,MIN(38,MAX(0,ROUNDUP(ROUND(Fares!$B$31+Fares!$B$39-3.2,1)-0.000000001,0)))+1))</f>
        <v/>
      </c>
      <c r="AN33">
        <f>Rides!$B$31/Rides!$B$41*Rides!$B$40/Rides!$B$41*(Fares!$C$31+Fares!$C$40-INDEX(Fares!$C$2:$C$40,MIN(38,MAX(0,ROUNDUP(ROUND(Fares!$B$31+Fares!$B$40-3.2,1)-0.000000001,0)))+1))</f>
        <v/>
      </c>
    </row>
    <row r="34">
      <c r="A34">
        <f>Fares!$B$32</f>
        <v/>
      </c>
      <c r="B34">
        <f>Rides!$B$32/Rides!$B$41*Rides!$B$2/Rides!$B$41*(Fares!$C$32+Fares!$C$2-INDEX(Fares!$C$2:$C$40,MIN(38,MAX(0,ROUNDUP(ROUND(Fares!$B$32+Fares!$B$2-3.2,1)-0.000000001,0)))+1))</f>
        <v/>
      </c>
      <c r="C34">
        <f>Rides!$B$32/Rides!$B$41*Rides!$B$3/Rides!$B$41*(Fares!$C$32+Fares!$C$3-INDEX(Fares!$C$2:$C$40,MIN(38,MAX(0,ROUNDUP(ROUND(Fares!$B$32+Fares!$B$3-3.2,1)-0.000000001,0)))+1))</f>
        <v/>
      </c>
      <c r="D34">
        <f>Rides!$B$32/Rides!$B$41*Rides!$B$4/Rides!$B$41*(Fares!$C$32+Fares!$C$4-INDEX(Fares!$C$2:$C$40,MIN(38,MAX(0,ROUNDUP(ROUND(Fares!$B$32+Fares!$B$4-3.2,1)-0.000000001,0)))+1))</f>
        <v/>
      </c>
      <c r="E34">
        <f>Rides!$B$32/Rides!$B$41*Rides!$B$5/Rides!$B$41*(Fares!$C$32+Fares!$C$5-INDEX(Fares!$C$2:$C$40,MIN(38,MAX(0,ROUNDUP(ROUND(Fares!$B$32+Fares!$B$5-3.2,1)-0.000000001,0)))+1))</f>
        <v/>
      </c>
      <c r="F34">
        <f>Rides!$B$32/Rides!$B$41*Rides!$B$6/Rides!$B$41*(Fares!$C$32+Fares!$C$6-INDEX(Fares!$C$2:$C$40,MIN(38,MAX(0,ROUNDUP(ROUND(Fares!$B$32+Fares!$B$6-3.2,1)-0.000000001,0)))+1))</f>
        <v/>
      </c>
      <c r="G34">
        <f>Rides!$B$32/Rides!$B$41*Rides!$B$7/Rides!$B$41*(Fares!$C$32+Fares!$C$7-INDEX(Fares!$C$2:$C$40,MIN(38,MAX(0,ROUNDUP(ROUND(Fares!$B$32+Fares!$B$7-3.2,1)-0.000000001,0)))+1))</f>
        <v/>
      </c>
      <c r="H34">
        <f>Rides!$B$32/Rides!$B$41*Rides!$B$8/Rides!$B$41*(Fares!$C$32+Fares!$C$8-INDEX(Fares!$C$2:$C$40,MIN(38,MAX(0,ROUNDUP(ROUND(Fares!$B$32+Fares!$B$8-3.2,1)-0.000000001,0)))+1))</f>
        <v/>
      </c>
      <c r="I34">
        <f>Rides!$B$32/Rides!$B$41*Rides!$B$9/Rides!$B$41*(Fares!$C$32+Fares!$C$9-INDEX(Fares!$C$2:$C$40,MIN(38,MAX(0,ROUNDUP(ROUND(Fares!$B$32+Fares!$B$9-3.2,1)-0.000000001,0)))+1))</f>
        <v/>
      </c>
      <c r="J34">
        <f>Rides!$B$32/Rides!$B$41*Rides!$B$10/Rides!$B$41*(Fares!$C$32+Fares!$C$10-INDEX(Fares!$C$2:$C$40,MIN(38,MAX(0,ROUNDUP(ROUND(Fares!$B$32+Fares!$B$10-3.2,1)-0.000000001,0)))+1))</f>
        <v/>
      </c>
      <c r="K34">
        <f>Rides!$B$32/Rides!$B$41*Rides!$B$11/Rides!$B$41*(Fares!$C$32+Fares!$C$11-INDEX(Fares!$C$2:$C$40,MIN(38,MAX(0,ROUNDUP(ROUND(Fares!$B$32+Fares!$B$11-3.2,1)-0.000000001,0)))+1))</f>
        <v/>
      </c>
      <c r="L34">
        <f>Rides!$B$32/Rides!$B$41*Rides!$B$12/Rides!$B$41*(Fares!$C$32+Fares!$C$12-INDEX(Fares!$C$2:$C$40,MIN(38,MAX(0,ROUNDUP(ROUND(Fares!$B$32+Fares!$B$12-3.2,1)-0.000000001,0)))+1))</f>
        <v/>
      </c>
      <c r="M34">
        <f>Rides!$B$32/Rides!$B$41*Rides!$B$13/Rides!$B$41*(Fares!$C$32+Fares!$C$13-INDEX(Fares!$C$2:$C$40,MIN(38,MAX(0,ROUNDUP(ROUND(Fares!$B$32+Fares!$B$13-3.2,1)-0.000000001,0)))+1))</f>
        <v/>
      </c>
      <c r="N34">
        <f>Rides!$B$32/Rides!$B$41*Rides!$B$14/Rides!$B$41*(Fares!$C$32+Fares!$C$14-INDEX(Fares!$C$2:$C$40,MIN(38,MAX(0,ROUNDUP(ROUND(Fares!$B$32+Fares!$B$14-3.2,1)-0.000000001,0)))+1))</f>
        <v/>
      </c>
      <c r="O34">
        <f>Rides!$B$32/Rides!$B$41*Rides!$B$15/Rides!$B$41*(Fares!$C$32+Fares!$C$15-INDEX(Fares!$C$2:$C$40,MIN(38,MAX(0,ROUNDUP(ROUND(Fares!$B$32+Fares!$B$15-3.2,1)-0.000000001,0)))+1))</f>
        <v/>
      </c>
      <c r="P34">
        <f>Rides!$B$32/Rides!$B$41*Rides!$B$16/Rides!$B$41*(Fares!$C$32+Fares!$C$16-INDEX(Fares!$C$2:$C$40,MIN(38,MAX(0,ROUNDUP(ROUND(Fares!$B$32+Fares!$B$16-3.2,1)-0.000000001,0)))+1))</f>
        <v/>
      </c>
      <c r="Q34">
        <f>Rides!$B$32/Rides!$B$41*Rides!$B$17/Rides!$B$41*(Fares!$C$32+Fares!$C$17-INDEX(Fares!$C$2:$C$40,MIN(38,MAX(0,ROUNDUP(ROUND(Fares!$B$32+Fares!$B$17-3.2,1)-0.000000001,0)))+1))</f>
        <v/>
      </c>
      <c r="R34">
        <f>Rides!$B$32/Rides!$B$41*Rides!$B$18/Rides!$B$41*(Fares!$C$32+Fares!$C$18-INDEX(Fares!$C$2:$C$40,MIN(38,MAX(0,ROUNDUP(ROUND(Fares!$B$32+Fares!$B$18-3.2,1)-0.000000001,0)))+1))</f>
        <v/>
      </c>
      <c r="S34">
        <f>Rides!$B$32/Rides!$B$41*Rides!$B$19/Rides!$B$41*(Fares!$C$32+Fares!$C$19-INDEX(Fares!$C$2:$C$40,MIN(38,MAX(0,ROUNDUP(ROUND(Fares!$B$32+Fares!$B$19-3.2,1)-0.000000001,0)))+1))</f>
        <v/>
      </c>
      <c r="T34">
        <f>Rides!$B$32/Rides!$B$41*Rides!$B$20/Rides!$B$41*(Fares!$C$32+Fares!$C$20-INDEX(Fares!$C$2:$C$40,MIN(38,MAX(0,ROUNDUP(ROUND(Fares!$B$32+Fares!$B$20-3.2,1)-0.000000001,0)))+1))</f>
        <v/>
      </c>
      <c r="U34">
        <f>Rides!$B$32/Rides!$B$41*Rides!$B$21/Rides!$B$41*(Fares!$C$32+Fares!$C$21-INDEX(Fares!$C$2:$C$40,MIN(38,MAX(0,ROUNDUP(ROUND(Fares!$B$32+Fares!$B$21-3.2,1)-0.000000001,0)))+1))</f>
        <v/>
      </c>
      <c r="V34">
        <f>Rides!$B$32/Rides!$B$41*Rides!$B$22/Rides!$B$41*(Fares!$C$32+Fares!$C$22-INDEX(Fares!$C$2:$C$40,MIN(38,MAX(0,ROUNDUP(ROUND(Fares!$B$32+Fares!$B$22-3.2,1)-0.000000001,0)))+1))</f>
        <v/>
      </c>
      <c r="W34">
        <f>Rides!$B$32/Rides!$B$41*Rides!$B$23/Rides!$B$41*(Fares!$C$32+Fares!$C$23-INDEX(Fares!$C$2:$C$40,MIN(38,MAX(0,ROUNDUP(ROUND(Fares!$B$32+Fares!$B$23-3.2,1)-0.000000001,0)))+1))</f>
        <v/>
      </c>
      <c r="X34">
        <f>Rides!$B$32/Rides!$B$41*Rides!$B$24/Rides!$B$41*(Fares!$C$32+Fares!$C$24-INDEX(Fares!$C$2:$C$40,MIN(38,MAX(0,ROUNDUP(ROUND(Fares!$B$32+Fares!$B$24-3.2,1)-0.000000001,0)))+1))</f>
        <v/>
      </c>
      <c r="Y34">
        <f>Rides!$B$32/Rides!$B$41*Rides!$B$25/Rides!$B$41*(Fares!$C$32+Fares!$C$25-INDEX(Fares!$C$2:$C$40,MIN(38,MAX(0,ROUNDUP(ROUND(Fares!$B$32+Fares!$B$25-3.2,1)-0.000000001,0)))+1))</f>
        <v/>
      </c>
      <c r="Z34">
        <f>Rides!$B$32/Rides!$B$41*Rides!$B$26/Rides!$B$41*(Fares!$C$32+Fares!$C$26-INDEX(Fares!$C$2:$C$40,MIN(38,MAX(0,ROUNDUP(ROUND(Fares!$B$32+Fares!$B$26-3.2,1)-0.000000001,0)))+1))</f>
        <v/>
      </c>
      <c r="AA34">
        <f>Rides!$B$32/Rides!$B$41*Rides!$B$27/Rides!$B$41*(Fares!$C$32+Fares!$C$27-INDEX(Fares!$C$2:$C$40,MIN(38,MAX(0,ROUNDUP(ROUND(Fares!$B$32+Fares!$B$27-3.2,1)-0.000000001,0)))+1))</f>
        <v/>
      </c>
      <c r="AB34">
        <f>Rides!$B$32/Rides!$B$41*Rides!$B$28/Rides!$B$41*(Fares!$C$32+Fares!$C$28-INDEX(Fares!$C$2:$C$40,MIN(38,MAX(0,ROUNDUP(ROUND(Fares!$B$32+Fares!$B$28-3.2,1)-0.000000001,0)))+1))</f>
        <v/>
      </c>
      <c r="AC34">
        <f>Rides!$B$32/Rides!$B$41*Rides!$B$29/Rides!$B$41*(Fares!$C$32+Fares!$C$29-INDEX(Fares!$C$2:$C$40,MIN(38,MAX(0,ROUNDUP(ROUND(Fares!$B$32+Fares!$B$29-3.2,1)-0.000000001,0)))+1))</f>
        <v/>
      </c>
      <c r="AD34">
        <f>Rides!$B$32/Rides!$B$41*Rides!$B$30/Rides!$B$41*(Fares!$C$32+Fares!$C$30-INDEX(Fares!$C$2:$C$40,MIN(38,MAX(0,ROUNDUP(ROUND(Fares!$B$32+Fares!$B$30-3.2,1)-0.000000001,0)))+1))</f>
        <v/>
      </c>
      <c r="AE34">
        <f>Rides!$B$32/Rides!$B$41*Rides!$B$31/Rides!$B$41*(Fares!$C$32+Fares!$C$31-INDEX(Fares!$C$2:$C$40,MIN(38,MAX(0,ROUNDUP(ROUND(Fares!$B$32+Fares!$B$31-3.2,1)-0.000000001,0)))+1))</f>
        <v/>
      </c>
      <c r="AF34">
        <f>Rides!$B$32/Rides!$B$41*Rides!$B$32/Rides!$B$41*(Fares!$C$32+Fares!$C$32-INDEX(Fares!$C$2:$C$40,MIN(38,MAX(0,ROUNDUP(ROUND(Fares!$B$32+Fares!$B$32-3.2,1)-0.000000001,0)))+1))</f>
        <v/>
      </c>
      <c r="AG34">
        <f>Rides!$B$32/Rides!$B$41*Rides!$B$33/Rides!$B$41*(Fares!$C$32+Fares!$C$33-INDEX(Fares!$C$2:$C$40,MIN(38,MAX(0,ROUNDUP(ROUND(Fares!$B$32+Fares!$B$33-3.2,1)-0.000000001,0)))+1))</f>
        <v/>
      </c>
      <c r="AH34">
        <f>Rides!$B$32/Rides!$B$41*Rides!$B$34/Rides!$B$41*(Fares!$C$32+Fares!$C$34-INDEX(Fares!$C$2:$C$40,MIN(38,MAX(0,ROUNDUP(ROUND(Fares!$B$32+Fares!$B$34-3.2,1)-0.000000001,0)))+1))</f>
        <v/>
      </c>
      <c r="AI34">
        <f>Rides!$B$32/Rides!$B$41*Rides!$B$35/Rides!$B$41*(Fares!$C$32+Fares!$C$35-INDEX(Fares!$C$2:$C$40,MIN(38,MAX(0,ROUNDUP(ROUND(Fares!$B$32+Fares!$B$35-3.2,1)-0.000000001,0)))+1))</f>
        <v/>
      </c>
      <c r="AJ34">
        <f>Rides!$B$32/Rides!$B$41*Rides!$B$36/Rides!$B$41*(Fares!$C$32+Fares!$C$36-INDEX(Fares!$C$2:$C$40,MIN(38,MAX(0,ROUNDUP(ROUND(Fares!$B$32+Fares!$B$36-3.2,1)-0.000000001,0)))+1))</f>
        <v/>
      </c>
      <c r="AK34">
        <f>Rides!$B$32/Rides!$B$41*Rides!$B$37/Rides!$B$41*(Fares!$C$32+Fares!$C$37-INDEX(Fares!$C$2:$C$40,MIN(38,MAX(0,ROUNDUP(ROUND(Fares!$B$32+Fares!$B$37-3.2,1)-0.000000001,0)))+1))</f>
        <v/>
      </c>
      <c r="AL34">
        <f>Rides!$B$32/Rides!$B$41*Rides!$B$38/Rides!$B$41*(Fares!$C$32+Fares!$C$38-INDEX(Fares!$C$2:$C$40,MIN(38,MAX(0,ROUNDUP(ROUND(Fares!$B$32+Fares!$B$38-3.2,1)-0.000000001,0)))+1))</f>
        <v/>
      </c>
      <c r="AM34">
        <f>Rides!$B$32/Rides!$B$41*Rides!$B$39/Rides!$B$41*(Fares!$C$32+Fares!$C$39-INDEX(Fares!$C$2:$C$40,MIN(38,MAX(0,ROUNDUP(ROUND(Fares!$B$32+Fares!$B$39-3.2,1)-0.000000001,0)))+1))</f>
        <v/>
      </c>
      <c r="AN34">
        <f>Rides!$B$32/Rides!$B$41*Rides!$B$40/Rides!$B$41*(Fares!$C$32+Fares!$C$40-INDEX(Fares!$C$2:$C$40,MIN(38,MAX(0,ROUNDUP(ROUND(Fares!$B$32+Fares!$B$40-3.2,1)-0.000000001,0)))+1))</f>
        <v/>
      </c>
    </row>
    <row r="35">
      <c r="A35">
        <f>Fares!$B$33</f>
        <v/>
      </c>
      <c r="B35">
        <f>Rides!$B$33/Rides!$B$41*Rides!$B$2/Rides!$B$41*(Fares!$C$33+Fares!$C$2-INDEX(Fares!$C$2:$C$40,MIN(38,MAX(0,ROUNDUP(ROUND(Fares!$B$33+Fares!$B$2-3.2,1)-0.000000001,0)))+1))</f>
        <v/>
      </c>
      <c r="C35">
        <f>Rides!$B$33/Rides!$B$41*Rides!$B$3/Rides!$B$41*(Fares!$C$33+Fares!$C$3-INDEX(Fares!$C$2:$C$40,MIN(38,MAX(0,ROUNDUP(ROUND(Fares!$B$33+Fares!$B$3-3.2,1)-0.000000001,0)))+1))</f>
        <v/>
      </c>
      <c r="D35">
        <f>Rides!$B$33/Rides!$B$41*Rides!$B$4/Rides!$B$41*(Fares!$C$33+Fares!$C$4-INDEX(Fares!$C$2:$C$40,MIN(38,MAX(0,ROUNDUP(ROUND(Fares!$B$33+Fares!$B$4-3.2,1)-0.000000001,0)))+1))</f>
        <v/>
      </c>
      <c r="E35">
        <f>Rides!$B$33/Rides!$B$41*Rides!$B$5/Rides!$B$41*(Fares!$C$33+Fares!$C$5-INDEX(Fares!$C$2:$C$40,MIN(38,MAX(0,ROUNDUP(ROUND(Fares!$B$33+Fares!$B$5-3.2,1)-0.000000001,0)))+1))</f>
        <v/>
      </c>
      <c r="F35">
        <f>Rides!$B$33/Rides!$B$41*Rides!$B$6/Rides!$B$41*(Fares!$C$33+Fares!$C$6-INDEX(Fares!$C$2:$C$40,MIN(38,MAX(0,ROUNDUP(ROUND(Fares!$B$33+Fares!$B$6-3.2,1)-0.000000001,0)))+1))</f>
        <v/>
      </c>
      <c r="G35">
        <f>Rides!$B$33/Rides!$B$41*Rides!$B$7/Rides!$B$41*(Fares!$C$33+Fares!$C$7-INDEX(Fares!$C$2:$C$40,MIN(38,MAX(0,ROUNDUP(ROUND(Fares!$B$33+Fares!$B$7-3.2,1)-0.000000001,0)))+1))</f>
        <v/>
      </c>
      <c r="H35">
        <f>Rides!$B$33/Rides!$B$41*Rides!$B$8/Rides!$B$41*(Fares!$C$33+Fares!$C$8-INDEX(Fares!$C$2:$C$40,MIN(38,MAX(0,ROUNDUP(ROUND(Fares!$B$33+Fares!$B$8-3.2,1)-0.000000001,0)))+1))</f>
        <v/>
      </c>
      <c r="I35">
        <f>Rides!$B$33/Rides!$B$41*Rides!$B$9/Rides!$B$41*(Fares!$C$33+Fares!$C$9-INDEX(Fares!$C$2:$C$40,MIN(38,MAX(0,ROUNDUP(ROUND(Fares!$B$33+Fares!$B$9-3.2,1)-0.000000001,0)))+1))</f>
        <v/>
      </c>
      <c r="J35">
        <f>Rides!$B$33/Rides!$B$41*Rides!$B$10/Rides!$B$41*(Fares!$C$33+Fares!$C$10-INDEX(Fares!$C$2:$C$40,MIN(38,MAX(0,ROUNDUP(ROUND(Fares!$B$33+Fares!$B$10-3.2,1)-0.000000001,0)))+1))</f>
        <v/>
      </c>
      <c r="K35">
        <f>Rides!$B$33/Rides!$B$41*Rides!$B$11/Rides!$B$41*(Fares!$C$33+Fares!$C$11-INDEX(Fares!$C$2:$C$40,MIN(38,MAX(0,ROUNDUP(ROUND(Fares!$B$33+Fares!$B$11-3.2,1)-0.000000001,0)))+1))</f>
        <v/>
      </c>
      <c r="L35">
        <f>Rides!$B$33/Rides!$B$41*Rides!$B$12/Rides!$B$41*(Fares!$C$33+Fares!$C$12-INDEX(Fares!$C$2:$C$40,MIN(38,MAX(0,ROUNDUP(ROUND(Fares!$B$33+Fares!$B$12-3.2,1)-0.000000001,0)))+1))</f>
        <v/>
      </c>
      <c r="M35">
        <f>Rides!$B$33/Rides!$B$41*Rides!$B$13/Rides!$B$41*(Fares!$C$33+Fares!$C$13-INDEX(Fares!$C$2:$C$40,MIN(38,MAX(0,ROUNDUP(ROUND(Fares!$B$33+Fares!$B$13-3.2,1)-0.000000001,0)))+1))</f>
        <v/>
      </c>
      <c r="N35">
        <f>Rides!$B$33/Rides!$B$41*Rides!$B$14/Rides!$B$41*(Fares!$C$33+Fares!$C$14-INDEX(Fares!$C$2:$C$40,MIN(38,MAX(0,ROUNDUP(ROUND(Fares!$B$33+Fares!$B$14-3.2,1)-0.000000001,0)))+1))</f>
        <v/>
      </c>
      <c r="O35">
        <f>Rides!$B$33/Rides!$B$41*Rides!$B$15/Rides!$B$41*(Fares!$C$33+Fares!$C$15-INDEX(Fares!$C$2:$C$40,MIN(38,MAX(0,ROUNDUP(ROUND(Fares!$B$33+Fares!$B$15-3.2,1)-0.000000001,0)))+1))</f>
        <v/>
      </c>
      <c r="P35">
        <f>Rides!$B$33/Rides!$B$41*Rides!$B$16/Rides!$B$41*(Fares!$C$33+Fares!$C$16-INDEX(Fares!$C$2:$C$40,MIN(38,MAX(0,ROUNDUP(ROUND(Fares!$B$33+Fares!$B$16-3.2,1)-0.000000001,0)))+1))</f>
        <v/>
      </c>
      <c r="Q35">
        <f>Rides!$B$33/Rides!$B$41*Rides!$B$17/Rides!$B$41*(Fares!$C$33+Fares!$C$17-INDEX(Fares!$C$2:$C$40,MIN(38,MAX(0,ROUNDUP(ROUND(Fares!$B$33+Fares!$B$17-3.2,1)-0.000000001,0)))+1))</f>
        <v/>
      </c>
      <c r="R35">
        <f>Rides!$B$33/Rides!$B$41*Rides!$B$18/Rides!$B$41*(Fares!$C$33+Fares!$C$18-INDEX(Fares!$C$2:$C$40,MIN(38,MAX(0,ROUNDUP(ROUND(Fares!$B$33+Fares!$B$18-3.2,1)-0.000000001,0)))+1))</f>
        <v/>
      </c>
      <c r="S35">
        <f>Rides!$B$33/Rides!$B$41*Rides!$B$19/Rides!$B$41*(Fares!$C$33+Fares!$C$19-INDEX(Fares!$C$2:$C$40,MIN(38,MAX(0,ROUNDUP(ROUND(Fares!$B$33+Fares!$B$19-3.2,1)-0.000000001,0)))+1))</f>
        <v/>
      </c>
      <c r="T35">
        <f>Rides!$B$33/Rides!$B$41*Rides!$B$20/Rides!$B$41*(Fares!$C$33+Fares!$C$20-INDEX(Fares!$C$2:$C$40,MIN(38,MAX(0,ROUNDUP(ROUND(Fares!$B$33+Fares!$B$20-3.2,1)-0.000000001,0)))+1))</f>
        <v/>
      </c>
      <c r="U35">
        <f>Rides!$B$33/Rides!$B$41*Rides!$B$21/Rides!$B$41*(Fares!$C$33+Fares!$C$21-INDEX(Fares!$C$2:$C$40,MIN(38,MAX(0,ROUNDUP(ROUND(Fares!$B$33+Fares!$B$21-3.2,1)-0.000000001,0)))+1))</f>
        <v/>
      </c>
      <c r="V35">
        <f>Rides!$B$33/Rides!$B$41*Rides!$B$22/Rides!$B$41*(Fares!$C$33+Fares!$C$22-INDEX(Fares!$C$2:$C$40,MIN(38,MAX(0,ROUNDUP(ROUND(Fares!$B$33+Fares!$B$22-3.2,1)-0.000000001,0)))+1))</f>
        <v/>
      </c>
      <c r="W35">
        <f>Rides!$B$33/Rides!$B$41*Rides!$B$23/Rides!$B$41*(Fares!$C$33+Fares!$C$23-INDEX(Fares!$C$2:$C$40,MIN(38,MAX(0,ROUNDUP(ROUND(Fares!$B$33+Fares!$B$23-3.2,1)-0.000000001,0)))+1))</f>
        <v/>
      </c>
      <c r="X35">
        <f>Rides!$B$33/Rides!$B$41*Rides!$B$24/Rides!$B$41*(Fares!$C$33+Fares!$C$24-INDEX(Fares!$C$2:$C$40,MIN(38,MAX(0,ROUNDUP(ROUND(Fares!$B$33+Fares!$B$24-3.2,1)-0.000000001,0)))+1))</f>
        <v/>
      </c>
      <c r="Y35">
        <f>Rides!$B$33/Rides!$B$41*Rides!$B$25/Rides!$B$41*(Fares!$C$33+Fares!$C$25-INDEX(Fares!$C$2:$C$40,MIN(38,MAX(0,ROUNDUP(ROUND(Fares!$B$33+Fares!$B$25-3.2,1)-0.000000001,0)))+1))</f>
        <v/>
      </c>
      <c r="Z35">
        <f>Rides!$B$33/Rides!$B$41*Rides!$B$26/Rides!$B$41*(Fares!$C$33+Fares!$C$26-INDEX(Fares!$C$2:$C$40,MIN(38,MAX(0,ROUNDUP(ROUND(Fares!$B$33+Fares!$B$26-3.2,1)-0.000000001,0)))+1))</f>
        <v/>
      </c>
      <c r="AA35">
        <f>Rides!$B$33/Rides!$B$41*Rides!$B$27/Rides!$B$41*(Fares!$C$33+Fares!$C$27-INDEX(Fares!$C$2:$C$40,MIN(38,MAX(0,ROUNDUP(ROUND(Fares!$B$33+Fares!$B$27-3.2,1)-0.000000001,0)))+1))</f>
        <v/>
      </c>
      <c r="AB35">
        <f>Rides!$B$33/Rides!$B$41*Rides!$B$28/Rides!$B$41*(Fares!$C$33+Fares!$C$28-INDEX(Fares!$C$2:$C$40,MIN(38,MAX(0,ROUNDUP(ROUND(Fares!$B$33+Fares!$B$28-3.2,1)-0.000000001,0)))+1))</f>
        <v/>
      </c>
      <c r="AC35">
        <f>Rides!$B$33/Rides!$B$41*Rides!$B$29/Rides!$B$41*(Fares!$C$33+Fares!$C$29-INDEX(Fares!$C$2:$C$40,MIN(38,MAX(0,ROUNDUP(ROUND(Fares!$B$33+Fares!$B$29-3.2,1)-0.000000001,0)))+1))</f>
        <v/>
      </c>
      <c r="AD35">
        <f>Rides!$B$33/Rides!$B$41*Rides!$B$30/Rides!$B$41*(Fares!$C$33+Fares!$C$30-INDEX(Fares!$C$2:$C$40,MIN(38,MAX(0,ROUNDUP(ROUND(Fares!$B$33+Fares!$B$30-3.2,1)-0.000000001,0)))+1))</f>
        <v/>
      </c>
      <c r="AE35">
        <f>Rides!$B$33/Rides!$B$41*Rides!$B$31/Rides!$B$41*(Fares!$C$33+Fares!$C$31-INDEX(Fares!$C$2:$C$40,MIN(38,MAX(0,ROUNDUP(ROUND(Fares!$B$33+Fares!$B$31-3.2,1)-0.000000001,0)))+1))</f>
        <v/>
      </c>
      <c r="AF35">
        <f>Rides!$B$33/Rides!$B$41*Rides!$B$32/Rides!$B$41*(Fares!$C$33+Fares!$C$32-INDEX(Fares!$C$2:$C$40,MIN(38,MAX(0,ROUNDUP(ROUND(Fares!$B$33+Fares!$B$32-3.2,1)-0.000000001,0)))+1))</f>
        <v/>
      </c>
      <c r="AG35">
        <f>Rides!$B$33/Rides!$B$41*Rides!$B$33/Rides!$B$41*(Fares!$C$33+Fares!$C$33-INDEX(Fares!$C$2:$C$40,MIN(38,MAX(0,ROUNDUP(ROUND(Fares!$B$33+Fares!$B$33-3.2,1)-0.000000001,0)))+1))</f>
        <v/>
      </c>
      <c r="AH35">
        <f>Rides!$B$33/Rides!$B$41*Rides!$B$34/Rides!$B$41*(Fares!$C$33+Fares!$C$34-INDEX(Fares!$C$2:$C$40,MIN(38,MAX(0,ROUNDUP(ROUND(Fares!$B$33+Fares!$B$34-3.2,1)-0.000000001,0)))+1))</f>
        <v/>
      </c>
      <c r="AI35">
        <f>Rides!$B$33/Rides!$B$41*Rides!$B$35/Rides!$B$41*(Fares!$C$33+Fares!$C$35-INDEX(Fares!$C$2:$C$40,MIN(38,MAX(0,ROUNDUP(ROUND(Fares!$B$33+Fares!$B$35-3.2,1)-0.000000001,0)))+1))</f>
        <v/>
      </c>
      <c r="AJ35">
        <f>Rides!$B$33/Rides!$B$41*Rides!$B$36/Rides!$B$41*(Fares!$C$33+Fares!$C$36-INDEX(Fares!$C$2:$C$40,MIN(38,MAX(0,ROUNDUP(ROUND(Fares!$B$33+Fares!$B$36-3.2,1)-0.000000001,0)))+1))</f>
        <v/>
      </c>
      <c r="AK35">
        <f>Rides!$B$33/Rides!$B$41*Rides!$B$37/Rides!$B$41*(Fares!$C$33+Fares!$C$37-INDEX(Fares!$C$2:$C$40,MIN(38,MAX(0,ROUNDUP(ROUND(Fares!$B$33+Fares!$B$37-3.2,1)-0.000000001,0)))+1))</f>
        <v/>
      </c>
      <c r="AL35">
        <f>Rides!$B$33/Rides!$B$41*Rides!$B$38/Rides!$B$41*(Fares!$C$33+Fares!$C$38-INDEX(Fares!$C$2:$C$40,MIN(38,MAX(0,ROUNDUP(ROUND(Fares!$B$33+Fares!$B$38-3.2,1)-0.000000001,0)))+1))</f>
        <v/>
      </c>
      <c r="AM35">
        <f>Rides!$B$33/Rides!$B$41*Rides!$B$39/Rides!$B$41*(Fares!$C$33+Fares!$C$39-INDEX(Fares!$C$2:$C$40,MIN(38,MAX(0,ROUNDUP(ROUND(Fares!$B$33+Fares!$B$39-3.2,1)-0.000000001,0)))+1))</f>
        <v/>
      </c>
      <c r="AN35">
        <f>Rides!$B$33/Rides!$B$41*Rides!$B$40/Rides!$B$41*(Fares!$C$33+Fares!$C$40-INDEX(Fares!$C$2:$C$40,MIN(38,MAX(0,ROUNDUP(ROUND(Fares!$B$33+Fares!$B$40-3.2,1)-0.000000001,0)))+1))</f>
        <v/>
      </c>
    </row>
    <row r="36">
      <c r="A36">
        <f>Fares!$B$34</f>
        <v/>
      </c>
      <c r="B36">
        <f>Rides!$B$34/Rides!$B$41*Rides!$B$2/Rides!$B$41*(Fares!$C$34+Fares!$C$2-INDEX(Fares!$C$2:$C$40,MIN(38,MAX(0,ROUNDUP(ROUND(Fares!$B$34+Fares!$B$2-3.2,1)-0.000000001,0)))+1))</f>
        <v/>
      </c>
      <c r="C36">
        <f>Rides!$B$34/Rides!$B$41*Rides!$B$3/Rides!$B$41*(Fares!$C$34+Fares!$C$3-INDEX(Fares!$C$2:$C$40,MIN(38,MAX(0,ROUNDUP(ROUND(Fares!$B$34+Fares!$B$3-3.2,1)-0.000000001,0)))+1))</f>
        <v/>
      </c>
      <c r="D36">
        <f>Rides!$B$34/Rides!$B$41*Rides!$B$4/Rides!$B$41*(Fares!$C$34+Fares!$C$4-INDEX(Fares!$C$2:$C$40,MIN(38,MAX(0,ROUNDUP(ROUND(Fares!$B$34+Fares!$B$4-3.2,1)-0.000000001,0)))+1))</f>
        <v/>
      </c>
      <c r="E36">
        <f>Rides!$B$34/Rides!$B$41*Rides!$B$5/Rides!$B$41*(Fares!$C$34+Fares!$C$5-INDEX(Fares!$C$2:$C$40,MIN(38,MAX(0,ROUNDUP(ROUND(Fares!$B$34+Fares!$B$5-3.2,1)-0.000000001,0)))+1))</f>
        <v/>
      </c>
      <c r="F36">
        <f>Rides!$B$34/Rides!$B$41*Rides!$B$6/Rides!$B$41*(Fares!$C$34+Fares!$C$6-INDEX(Fares!$C$2:$C$40,MIN(38,MAX(0,ROUNDUP(ROUND(Fares!$B$34+Fares!$B$6-3.2,1)-0.000000001,0)))+1))</f>
        <v/>
      </c>
      <c r="G36">
        <f>Rides!$B$34/Rides!$B$41*Rides!$B$7/Rides!$B$41*(Fares!$C$34+Fares!$C$7-INDEX(Fares!$C$2:$C$40,MIN(38,MAX(0,ROUNDUP(ROUND(Fares!$B$34+Fares!$B$7-3.2,1)-0.000000001,0)))+1))</f>
        <v/>
      </c>
      <c r="H36">
        <f>Rides!$B$34/Rides!$B$41*Rides!$B$8/Rides!$B$41*(Fares!$C$34+Fares!$C$8-INDEX(Fares!$C$2:$C$40,MIN(38,MAX(0,ROUNDUP(ROUND(Fares!$B$34+Fares!$B$8-3.2,1)-0.000000001,0)))+1))</f>
        <v/>
      </c>
      <c r="I36">
        <f>Rides!$B$34/Rides!$B$41*Rides!$B$9/Rides!$B$41*(Fares!$C$34+Fares!$C$9-INDEX(Fares!$C$2:$C$40,MIN(38,MAX(0,ROUNDUP(ROUND(Fares!$B$34+Fares!$B$9-3.2,1)-0.000000001,0)))+1))</f>
        <v/>
      </c>
      <c r="J36">
        <f>Rides!$B$34/Rides!$B$41*Rides!$B$10/Rides!$B$41*(Fares!$C$34+Fares!$C$10-INDEX(Fares!$C$2:$C$40,MIN(38,MAX(0,ROUNDUP(ROUND(Fares!$B$34+Fares!$B$10-3.2,1)-0.000000001,0)))+1))</f>
        <v/>
      </c>
      <c r="K36">
        <f>Rides!$B$34/Rides!$B$41*Rides!$B$11/Rides!$B$41*(Fares!$C$34+Fares!$C$11-INDEX(Fares!$C$2:$C$40,MIN(38,MAX(0,ROUNDUP(ROUND(Fares!$B$34+Fares!$B$11-3.2,1)-0.000000001,0)))+1))</f>
        <v/>
      </c>
      <c r="L36">
        <f>Rides!$B$34/Rides!$B$41*Rides!$B$12/Rides!$B$41*(Fares!$C$34+Fares!$C$12-INDEX(Fares!$C$2:$C$40,MIN(38,MAX(0,ROUNDUP(ROUND(Fares!$B$34+Fares!$B$12-3.2,1)-0.000000001,0)))+1))</f>
        <v/>
      </c>
      <c r="M36">
        <f>Rides!$B$34/Rides!$B$41*Rides!$B$13/Rides!$B$41*(Fares!$C$34+Fares!$C$13-INDEX(Fares!$C$2:$C$40,MIN(38,MAX(0,ROUNDUP(ROUND(Fares!$B$34+Fares!$B$13-3.2,1)-0.000000001,0)))+1))</f>
        <v/>
      </c>
      <c r="N36">
        <f>Rides!$B$34/Rides!$B$41*Rides!$B$14/Rides!$B$41*(Fares!$C$34+Fares!$C$14-INDEX(Fares!$C$2:$C$40,MIN(38,MAX(0,ROUNDUP(ROUND(Fares!$B$34+Fares!$B$14-3.2,1)-0.000000001,0)))+1))</f>
        <v/>
      </c>
      <c r="O36">
        <f>Rides!$B$34/Rides!$B$41*Rides!$B$15/Rides!$B$41*(Fares!$C$34+Fares!$C$15-INDEX(Fares!$C$2:$C$40,MIN(38,MAX(0,ROUNDUP(ROUND(Fares!$B$34+Fares!$B$15-3.2,1)-0.000000001,0)))+1))</f>
        <v/>
      </c>
      <c r="P36">
        <f>Rides!$B$34/Rides!$B$41*Rides!$B$16/Rides!$B$41*(Fares!$C$34+Fares!$C$16-INDEX(Fares!$C$2:$C$40,MIN(38,MAX(0,ROUNDUP(ROUND(Fares!$B$34+Fares!$B$16-3.2,1)-0.000000001,0)))+1))</f>
        <v/>
      </c>
      <c r="Q36">
        <f>Rides!$B$34/Rides!$B$41*Rides!$B$17/Rides!$B$41*(Fares!$C$34+Fares!$C$17-INDEX(Fares!$C$2:$C$40,MIN(38,MAX(0,ROUNDUP(ROUND(Fares!$B$34+Fares!$B$17-3.2,1)-0.000000001,0)))+1))</f>
        <v/>
      </c>
      <c r="R36">
        <f>Rides!$B$34/Rides!$B$41*Rides!$B$18/Rides!$B$41*(Fares!$C$34+Fares!$C$18-INDEX(Fares!$C$2:$C$40,MIN(38,MAX(0,ROUNDUP(ROUND(Fares!$B$34+Fares!$B$18-3.2,1)-0.000000001,0)))+1))</f>
        <v/>
      </c>
      <c r="S36">
        <f>Rides!$B$34/Rides!$B$41*Rides!$B$19/Rides!$B$41*(Fares!$C$34+Fares!$C$19-INDEX(Fares!$C$2:$C$40,MIN(38,MAX(0,ROUNDUP(ROUND(Fares!$B$34+Fares!$B$19-3.2,1)-0.000000001,0)))+1))</f>
        <v/>
      </c>
      <c r="T36">
        <f>Rides!$B$34/Rides!$B$41*Rides!$B$20/Rides!$B$41*(Fares!$C$34+Fares!$C$20-INDEX(Fares!$C$2:$C$40,MIN(38,MAX(0,ROUNDUP(ROUND(Fares!$B$34+Fares!$B$20-3.2,1)-0.000000001,0)))+1))</f>
        <v/>
      </c>
      <c r="U36">
        <f>Rides!$B$34/Rides!$B$41*Rides!$B$21/Rides!$B$41*(Fares!$C$34+Fares!$C$21-INDEX(Fares!$C$2:$C$40,MIN(38,MAX(0,ROUNDUP(ROUND(Fares!$B$34+Fares!$B$21-3.2,1)-0.000000001,0)))+1))</f>
        <v/>
      </c>
      <c r="V36">
        <f>Rides!$B$34/Rides!$B$41*Rides!$B$22/Rides!$B$41*(Fares!$C$34+Fares!$C$22-INDEX(Fares!$C$2:$C$40,MIN(38,MAX(0,ROUNDUP(ROUND(Fares!$B$34+Fares!$B$22-3.2,1)-0.000000001,0)))+1))</f>
        <v/>
      </c>
      <c r="W36">
        <f>Rides!$B$34/Rides!$B$41*Rides!$B$23/Rides!$B$41*(Fares!$C$34+Fares!$C$23-INDEX(Fares!$C$2:$C$40,MIN(38,MAX(0,ROUNDUP(ROUND(Fares!$B$34+Fares!$B$23-3.2,1)-0.000000001,0)))+1))</f>
        <v/>
      </c>
      <c r="X36">
        <f>Rides!$B$34/Rides!$B$41*Rides!$B$24/Rides!$B$41*(Fares!$C$34+Fares!$C$24-INDEX(Fares!$C$2:$C$40,MIN(38,MAX(0,ROUNDUP(ROUND(Fares!$B$34+Fares!$B$24-3.2,1)-0.000000001,0)))+1))</f>
        <v/>
      </c>
      <c r="Y36">
        <f>Rides!$B$34/Rides!$B$41*Rides!$B$25/Rides!$B$41*(Fares!$C$34+Fares!$C$25-INDEX(Fares!$C$2:$C$40,MIN(38,MAX(0,ROUNDUP(ROUND(Fares!$B$34+Fares!$B$25-3.2,1)-0.000000001,0)))+1))</f>
        <v/>
      </c>
      <c r="Z36">
        <f>Rides!$B$34/Rides!$B$41*Rides!$B$26/Rides!$B$41*(Fares!$C$34+Fares!$C$26-INDEX(Fares!$C$2:$C$40,MIN(38,MAX(0,ROUNDUP(ROUND(Fares!$B$34+Fares!$B$26-3.2,1)-0.000000001,0)))+1))</f>
        <v/>
      </c>
      <c r="AA36">
        <f>Rides!$B$34/Rides!$B$41*Rides!$B$27/Rides!$B$41*(Fares!$C$34+Fares!$C$27-INDEX(Fares!$C$2:$C$40,MIN(38,MAX(0,ROUNDUP(ROUND(Fares!$B$34+Fares!$B$27-3.2,1)-0.000000001,0)))+1))</f>
        <v/>
      </c>
      <c r="AB36">
        <f>Rides!$B$34/Rides!$B$41*Rides!$B$28/Rides!$B$41*(Fares!$C$34+Fares!$C$28-INDEX(Fares!$C$2:$C$40,MIN(38,MAX(0,ROUNDUP(ROUND(Fares!$B$34+Fares!$B$28-3.2,1)-0.000000001,0)))+1))</f>
        <v/>
      </c>
      <c r="AC36">
        <f>Rides!$B$34/Rides!$B$41*Rides!$B$29/Rides!$B$41*(Fares!$C$34+Fares!$C$29-INDEX(Fares!$C$2:$C$40,MIN(38,MAX(0,ROUNDUP(ROUND(Fares!$B$34+Fares!$B$29-3.2,1)-0.000000001,0)))+1))</f>
        <v/>
      </c>
      <c r="AD36">
        <f>Rides!$B$34/Rides!$B$41*Rides!$B$30/Rides!$B$41*(Fares!$C$34+Fares!$C$30-INDEX(Fares!$C$2:$C$40,MIN(38,MAX(0,ROUNDUP(ROUND(Fares!$B$34+Fares!$B$30-3.2,1)-0.000000001,0)))+1))</f>
        <v/>
      </c>
      <c r="AE36">
        <f>Rides!$B$34/Rides!$B$41*Rides!$B$31/Rides!$B$41*(Fares!$C$34+Fares!$C$31-INDEX(Fares!$C$2:$C$40,MIN(38,MAX(0,ROUNDUP(ROUND(Fares!$B$34+Fares!$B$31-3.2,1)-0.000000001,0)))+1))</f>
        <v/>
      </c>
      <c r="AF36">
        <f>Rides!$B$34/Rides!$B$41*Rides!$B$32/Rides!$B$41*(Fares!$C$34+Fares!$C$32-INDEX(Fares!$C$2:$C$40,MIN(38,MAX(0,ROUNDUP(ROUND(Fares!$B$34+Fares!$B$32-3.2,1)-0.000000001,0)))+1))</f>
        <v/>
      </c>
      <c r="AG36">
        <f>Rides!$B$34/Rides!$B$41*Rides!$B$33/Rides!$B$41*(Fares!$C$34+Fares!$C$33-INDEX(Fares!$C$2:$C$40,MIN(38,MAX(0,ROUNDUP(ROUND(Fares!$B$34+Fares!$B$33-3.2,1)-0.000000001,0)))+1))</f>
        <v/>
      </c>
      <c r="AH36">
        <f>Rides!$B$34/Rides!$B$41*Rides!$B$34/Rides!$B$41*(Fares!$C$34+Fares!$C$34-INDEX(Fares!$C$2:$C$40,MIN(38,MAX(0,ROUNDUP(ROUND(Fares!$B$34+Fares!$B$34-3.2,1)-0.000000001,0)))+1))</f>
        <v/>
      </c>
      <c r="AI36">
        <f>Rides!$B$34/Rides!$B$41*Rides!$B$35/Rides!$B$41*(Fares!$C$34+Fares!$C$35-INDEX(Fares!$C$2:$C$40,MIN(38,MAX(0,ROUNDUP(ROUND(Fares!$B$34+Fares!$B$35-3.2,1)-0.000000001,0)))+1))</f>
        <v/>
      </c>
      <c r="AJ36">
        <f>Rides!$B$34/Rides!$B$41*Rides!$B$36/Rides!$B$41*(Fares!$C$34+Fares!$C$36-INDEX(Fares!$C$2:$C$40,MIN(38,MAX(0,ROUNDUP(ROUND(Fares!$B$34+Fares!$B$36-3.2,1)-0.000000001,0)))+1))</f>
        <v/>
      </c>
      <c r="AK36">
        <f>Rides!$B$34/Rides!$B$41*Rides!$B$37/Rides!$B$41*(Fares!$C$34+Fares!$C$37-INDEX(Fares!$C$2:$C$40,MIN(38,MAX(0,ROUNDUP(ROUND(Fares!$B$34+Fares!$B$37-3.2,1)-0.000000001,0)))+1))</f>
        <v/>
      </c>
      <c r="AL36">
        <f>Rides!$B$34/Rides!$B$41*Rides!$B$38/Rides!$B$41*(Fares!$C$34+Fares!$C$38-INDEX(Fares!$C$2:$C$40,MIN(38,MAX(0,ROUNDUP(ROUND(Fares!$B$34+Fares!$B$38-3.2,1)-0.000000001,0)))+1))</f>
        <v/>
      </c>
      <c r="AM36">
        <f>Rides!$B$34/Rides!$B$41*Rides!$B$39/Rides!$B$41*(Fares!$C$34+Fares!$C$39-INDEX(Fares!$C$2:$C$40,MIN(38,MAX(0,ROUNDUP(ROUND(Fares!$B$34+Fares!$B$39-3.2,1)-0.000000001,0)))+1))</f>
        <v/>
      </c>
      <c r="AN36">
        <f>Rides!$B$34/Rides!$B$41*Rides!$B$40/Rides!$B$41*(Fares!$C$34+Fares!$C$40-INDEX(Fares!$C$2:$C$40,MIN(38,MAX(0,ROUNDUP(ROUND(Fares!$B$34+Fares!$B$40-3.2,1)-0.000000001,0)))+1))</f>
        <v/>
      </c>
    </row>
    <row r="37">
      <c r="A37">
        <f>Fares!$B$35</f>
        <v/>
      </c>
      <c r="B37">
        <f>Rides!$B$35/Rides!$B$41*Rides!$B$2/Rides!$B$41*(Fares!$C$35+Fares!$C$2-INDEX(Fares!$C$2:$C$40,MIN(38,MAX(0,ROUNDUP(ROUND(Fares!$B$35+Fares!$B$2-3.2,1)-0.000000001,0)))+1))</f>
        <v/>
      </c>
      <c r="C37">
        <f>Rides!$B$35/Rides!$B$41*Rides!$B$3/Rides!$B$41*(Fares!$C$35+Fares!$C$3-INDEX(Fares!$C$2:$C$40,MIN(38,MAX(0,ROUNDUP(ROUND(Fares!$B$35+Fares!$B$3-3.2,1)-0.000000001,0)))+1))</f>
        <v/>
      </c>
      <c r="D37">
        <f>Rides!$B$35/Rides!$B$41*Rides!$B$4/Rides!$B$41*(Fares!$C$35+Fares!$C$4-INDEX(Fares!$C$2:$C$40,MIN(38,MAX(0,ROUNDUP(ROUND(Fares!$B$35+Fares!$B$4-3.2,1)-0.000000001,0)))+1))</f>
        <v/>
      </c>
      <c r="E37">
        <f>Rides!$B$35/Rides!$B$41*Rides!$B$5/Rides!$B$41*(Fares!$C$35+Fares!$C$5-INDEX(Fares!$C$2:$C$40,MIN(38,MAX(0,ROUNDUP(ROUND(Fares!$B$35+Fares!$B$5-3.2,1)-0.000000001,0)))+1))</f>
        <v/>
      </c>
      <c r="F37">
        <f>Rides!$B$35/Rides!$B$41*Rides!$B$6/Rides!$B$41*(Fares!$C$35+Fares!$C$6-INDEX(Fares!$C$2:$C$40,MIN(38,MAX(0,ROUNDUP(ROUND(Fares!$B$35+Fares!$B$6-3.2,1)-0.000000001,0)))+1))</f>
        <v/>
      </c>
      <c r="G37">
        <f>Rides!$B$35/Rides!$B$41*Rides!$B$7/Rides!$B$41*(Fares!$C$35+Fares!$C$7-INDEX(Fares!$C$2:$C$40,MIN(38,MAX(0,ROUNDUP(ROUND(Fares!$B$35+Fares!$B$7-3.2,1)-0.000000001,0)))+1))</f>
        <v/>
      </c>
      <c r="H37">
        <f>Rides!$B$35/Rides!$B$41*Rides!$B$8/Rides!$B$41*(Fares!$C$35+Fares!$C$8-INDEX(Fares!$C$2:$C$40,MIN(38,MAX(0,ROUNDUP(ROUND(Fares!$B$35+Fares!$B$8-3.2,1)-0.000000001,0)))+1))</f>
        <v/>
      </c>
      <c r="I37">
        <f>Rides!$B$35/Rides!$B$41*Rides!$B$9/Rides!$B$41*(Fares!$C$35+Fares!$C$9-INDEX(Fares!$C$2:$C$40,MIN(38,MAX(0,ROUNDUP(ROUND(Fares!$B$35+Fares!$B$9-3.2,1)-0.000000001,0)))+1))</f>
        <v/>
      </c>
      <c r="J37">
        <f>Rides!$B$35/Rides!$B$41*Rides!$B$10/Rides!$B$41*(Fares!$C$35+Fares!$C$10-INDEX(Fares!$C$2:$C$40,MIN(38,MAX(0,ROUNDUP(ROUND(Fares!$B$35+Fares!$B$10-3.2,1)-0.000000001,0)))+1))</f>
        <v/>
      </c>
      <c r="K37">
        <f>Rides!$B$35/Rides!$B$41*Rides!$B$11/Rides!$B$41*(Fares!$C$35+Fares!$C$11-INDEX(Fares!$C$2:$C$40,MIN(38,MAX(0,ROUNDUP(ROUND(Fares!$B$35+Fares!$B$11-3.2,1)-0.000000001,0)))+1))</f>
        <v/>
      </c>
      <c r="L37">
        <f>Rides!$B$35/Rides!$B$41*Rides!$B$12/Rides!$B$41*(Fares!$C$35+Fares!$C$12-INDEX(Fares!$C$2:$C$40,MIN(38,MAX(0,ROUNDUP(ROUND(Fares!$B$35+Fares!$B$12-3.2,1)-0.000000001,0)))+1))</f>
        <v/>
      </c>
      <c r="M37">
        <f>Rides!$B$35/Rides!$B$41*Rides!$B$13/Rides!$B$41*(Fares!$C$35+Fares!$C$13-INDEX(Fares!$C$2:$C$40,MIN(38,MAX(0,ROUNDUP(ROUND(Fares!$B$35+Fares!$B$13-3.2,1)-0.000000001,0)))+1))</f>
        <v/>
      </c>
      <c r="N37">
        <f>Rides!$B$35/Rides!$B$41*Rides!$B$14/Rides!$B$41*(Fares!$C$35+Fares!$C$14-INDEX(Fares!$C$2:$C$40,MIN(38,MAX(0,ROUNDUP(ROUND(Fares!$B$35+Fares!$B$14-3.2,1)-0.000000001,0)))+1))</f>
        <v/>
      </c>
      <c r="O37">
        <f>Rides!$B$35/Rides!$B$41*Rides!$B$15/Rides!$B$41*(Fares!$C$35+Fares!$C$15-INDEX(Fares!$C$2:$C$40,MIN(38,MAX(0,ROUNDUP(ROUND(Fares!$B$35+Fares!$B$15-3.2,1)-0.000000001,0)))+1))</f>
        <v/>
      </c>
      <c r="P37">
        <f>Rides!$B$35/Rides!$B$41*Rides!$B$16/Rides!$B$41*(Fares!$C$35+Fares!$C$16-INDEX(Fares!$C$2:$C$40,MIN(38,MAX(0,ROUNDUP(ROUND(Fares!$B$35+Fares!$B$16-3.2,1)-0.000000001,0)))+1))</f>
        <v/>
      </c>
      <c r="Q37">
        <f>Rides!$B$35/Rides!$B$41*Rides!$B$17/Rides!$B$41*(Fares!$C$35+Fares!$C$17-INDEX(Fares!$C$2:$C$40,MIN(38,MAX(0,ROUNDUP(ROUND(Fares!$B$35+Fares!$B$17-3.2,1)-0.000000001,0)))+1))</f>
        <v/>
      </c>
      <c r="R37">
        <f>Rides!$B$35/Rides!$B$41*Rides!$B$18/Rides!$B$41*(Fares!$C$35+Fares!$C$18-INDEX(Fares!$C$2:$C$40,MIN(38,MAX(0,ROUNDUP(ROUND(Fares!$B$35+Fares!$B$18-3.2,1)-0.000000001,0)))+1))</f>
        <v/>
      </c>
      <c r="S37">
        <f>Rides!$B$35/Rides!$B$41*Rides!$B$19/Rides!$B$41*(Fares!$C$35+Fares!$C$19-INDEX(Fares!$C$2:$C$40,MIN(38,MAX(0,ROUNDUP(ROUND(Fares!$B$35+Fares!$B$19-3.2,1)-0.000000001,0)))+1))</f>
        <v/>
      </c>
      <c r="T37">
        <f>Rides!$B$35/Rides!$B$41*Rides!$B$20/Rides!$B$41*(Fares!$C$35+Fares!$C$20-INDEX(Fares!$C$2:$C$40,MIN(38,MAX(0,ROUNDUP(ROUND(Fares!$B$35+Fares!$B$20-3.2,1)-0.000000001,0)))+1))</f>
        <v/>
      </c>
      <c r="U37">
        <f>Rides!$B$35/Rides!$B$41*Rides!$B$21/Rides!$B$41*(Fares!$C$35+Fares!$C$21-INDEX(Fares!$C$2:$C$40,MIN(38,MAX(0,ROUNDUP(ROUND(Fares!$B$35+Fares!$B$21-3.2,1)-0.000000001,0)))+1))</f>
        <v/>
      </c>
      <c r="V37">
        <f>Rides!$B$35/Rides!$B$41*Rides!$B$22/Rides!$B$41*(Fares!$C$35+Fares!$C$22-INDEX(Fares!$C$2:$C$40,MIN(38,MAX(0,ROUNDUP(ROUND(Fares!$B$35+Fares!$B$22-3.2,1)-0.000000001,0)))+1))</f>
        <v/>
      </c>
      <c r="W37">
        <f>Rides!$B$35/Rides!$B$41*Rides!$B$23/Rides!$B$41*(Fares!$C$35+Fares!$C$23-INDEX(Fares!$C$2:$C$40,MIN(38,MAX(0,ROUNDUP(ROUND(Fares!$B$35+Fares!$B$23-3.2,1)-0.000000001,0)))+1))</f>
        <v/>
      </c>
      <c r="X37">
        <f>Rides!$B$35/Rides!$B$41*Rides!$B$24/Rides!$B$41*(Fares!$C$35+Fares!$C$24-INDEX(Fares!$C$2:$C$40,MIN(38,MAX(0,ROUNDUP(ROUND(Fares!$B$35+Fares!$B$24-3.2,1)-0.000000001,0)))+1))</f>
        <v/>
      </c>
      <c r="Y37">
        <f>Rides!$B$35/Rides!$B$41*Rides!$B$25/Rides!$B$41*(Fares!$C$35+Fares!$C$25-INDEX(Fares!$C$2:$C$40,MIN(38,MAX(0,ROUNDUP(ROUND(Fares!$B$35+Fares!$B$25-3.2,1)-0.000000001,0)))+1))</f>
        <v/>
      </c>
      <c r="Z37">
        <f>Rides!$B$35/Rides!$B$41*Rides!$B$26/Rides!$B$41*(Fares!$C$35+Fares!$C$26-INDEX(Fares!$C$2:$C$40,MIN(38,MAX(0,ROUNDUP(ROUND(Fares!$B$35+Fares!$B$26-3.2,1)-0.000000001,0)))+1))</f>
        <v/>
      </c>
      <c r="AA37">
        <f>Rides!$B$35/Rides!$B$41*Rides!$B$27/Rides!$B$41*(Fares!$C$35+Fares!$C$27-INDEX(Fares!$C$2:$C$40,MIN(38,MAX(0,ROUNDUP(ROUND(Fares!$B$35+Fares!$B$27-3.2,1)-0.000000001,0)))+1))</f>
        <v/>
      </c>
      <c r="AB37">
        <f>Rides!$B$35/Rides!$B$41*Rides!$B$28/Rides!$B$41*(Fares!$C$35+Fares!$C$28-INDEX(Fares!$C$2:$C$40,MIN(38,MAX(0,ROUNDUP(ROUND(Fares!$B$35+Fares!$B$28-3.2,1)-0.000000001,0)))+1))</f>
        <v/>
      </c>
      <c r="AC37">
        <f>Rides!$B$35/Rides!$B$41*Rides!$B$29/Rides!$B$41*(Fares!$C$35+Fares!$C$29-INDEX(Fares!$C$2:$C$40,MIN(38,MAX(0,ROUNDUP(ROUND(Fares!$B$35+Fares!$B$29-3.2,1)-0.000000001,0)))+1))</f>
        <v/>
      </c>
      <c r="AD37">
        <f>Rides!$B$35/Rides!$B$41*Rides!$B$30/Rides!$B$41*(Fares!$C$35+Fares!$C$30-INDEX(Fares!$C$2:$C$40,MIN(38,MAX(0,ROUNDUP(ROUND(Fares!$B$35+Fares!$B$30-3.2,1)-0.000000001,0)))+1))</f>
        <v/>
      </c>
      <c r="AE37">
        <f>Rides!$B$35/Rides!$B$41*Rides!$B$31/Rides!$B$41*(Fares!$C$35+Fares!$C$31-INDEX(Fares!$C$2:$C$40,MIN(38,MAX(0,ROUNDUP(ROUND(Fares!$B$35+Fares!$B$31-3.2,1)-0.000000001,0)))+1))</f>
        <v/>
      </c>
      <c r="AF37">
        <f>Rides!$B$35/Rides!$B$41*Rides!$B$32/Rides!$B$41*(Fares!$C$35+Fares!$C$32-INDEX(Fares!$C$2:$C$40,MIN(38,MAX(0,ROUNDUP(ROUND(Fares!$B$35+Fares!$B$32-3.2,1)-0.000000001,0)))+1))</f>
        <v/>
      </c>
      <c r="AG37">
        <f>Rides!$B$35/Rides!$B$41*Rides!$B$33/Rides!$B$41*(Fares!$C$35+Fares!$C$33-INDEX(Fares!$C$2:$C$40,MIN(38,MAX(0,ROUNDUP(ROUND(Fares!$B$35+Fares!$B$33-3.2,1)-0.000000001,0)))+1))</f>
        <v/>
      </c>
      <c r="AH37">
        <f>Rides!$B$35/Rides!$B$41*Rides!$B$34/Rides!$B$41*(Fares!$C$35+Fares!$C$34-INDEX(Fares!$C$2:$C$40,MIN(38,MAX(0,ROUNDUP(ROUND(Fares!$B$35+Fares!$B$34-3.2,1)-0.000000001,0)))+1))</f>
        <v/>
      </c>
      <c r="AI37">
        <f>Rides!$B$35/Rides!$B$41*Rides!$B$35/Rides!$B$41*(Fares!$C$35+Fares!$C$35-INDEX(Fares!$C$2:$C$40,MIN(38,MAX(0,ROUNDUP(ROUND(Fares!$B$35+Fares!$B$35-3.2,1)-0.000000001,0)))+1))</f>
        <v/>
      </c>
      <c r="AJ37">
        <f>Rides!$B$35/Rides!$B$41*Rides!$B$36/Rides!$B$41*(Fares!$C$35+Fares!$C$36-INDEX(Fares!$C$2:$C$40,MIN(38,MAX(0,ROUNDUP(ROUND(Fares!$B$35+Fares!$B$36-3.2,1)-0.000000001,0)))+1))</f>
        <v/>
      </c>
      <c r="AK37">
        <f>Rides!$B$35/Rides!$B$41*Rides!$B$37/Rides!$B$41*(Fares!$C$35+Fares!$C$37-INDEX(Fares!$C$2:$C$40,MIN(38,MAX(0,ROUNDUP(ROUND(Fares!$B$35+Fares!$B$37-3.2,1)-0.000000001,0)))+1))</f>
        <v/>
      </c>
      <c r="AL37">
        <f>Rides!$B$35/Rides!$B$41*Rides!$B$38/Rides!$B$41*(Fares!$C$35+Fares!$C$38-INDEX(Fares!$C$2:$C$40,MIN(38,MAX(0,ROUNDUP(ROUND(Fares!$B$35+Fares!$B$38-3.2,1)-0.000000001,0)))+1))</f>
        <v/>
      </c>
      <c r="AM37">
        <f>Rides!$B$35/Rides!$B$41*Rides!$B$39/Rides!$B$41*(Fares!$C$35+Fares!$C$39-INDEX(Fares!$C$2:$C$40,MIN(38,MAX(0,ROUNDUP(ROUND(Fares!$B$35+Fares!$B$39-3.2,1)-0.000000001,0)))+1))</f>
        <v/>
      </c>
      <c r="AN37">
        <f>Rides!$B$35/Rides!$B$41*Rides!$B$40/Rides!$B$41*(Fares!$C$35+Fares!$C$40-INDEX(Fares!$C$2:$C$40,MIN(38,MAX(0,ROUNDUP(ROUND(Fares!$B$35+Fares!$B$40-3.2,1)-0.000000001,0)))+1))</f>
        <v/>
      </c>
    </row>
    <row r="38">
      <c r="A38">
        <f>Fares!$B$36</f>
        <v/>
      </c>
      <c r="B38">
        <f>Rides!$B$36/Rides!$B$41*Rides!$B$2/Rides!$B$41*(Fares!$C$36+Fares!$C$2-INDEX(Fares!$C$2:$C$40,MIN(38,MAX(0,ROUNDUP(ROUND(Fares!$B$36+Fares!$B$2-3.2,1)-0.000000001,0)))+1))</f>
        <v/>
      </c>
      <c r="C38">
        <f>Rides!$B$36/Rides!$B$41*Rides!$B$3/Rides!$B$41*(Fares!$C$36+Fares!$C$3-INDEX(Fares!$C$2:$C$40,MIN(38,MAX(0,ROUNDUP(ROUND(Fares!$B$36+Fares!$B$3-3.2,1)-0.000000001,0)))+1))</f>
        <v/>
      </c>
      <c r="D38">
        <f>Rides!$B$36/Rides!$B$41*Rides!$B$4/Rides!$B$41*(Fares!$C$36+Fares!$C$4-INDEX(Fares!$C$2:$C$40,MIN(38,MAX(0,ROUNDUP(ROUND(Fares!$B$36+Fares!$B$4-3.2,1)-0.000000001,0)))+1))</f>
        <v/>
      </c>
      <c r="E38">
        <f>Rides!$B$36/Rides!$B$41*Rides!$B$5/Rides!$B$41*(Fares!$C$36+Fares!$C$5-INDEX(Fares!$C$2:$C$40,MIN(38,MAX(0,ROUNDUP(ROUND(Fares!$B$36+Fares!$B$5-3.2,1)-0.000000001,0)))+1))</f>
        <v/>
      </c>
      <c r="F38">
        <f>Rides!$B$36/Rides!$B$41*Rides!$B$6/Rides!$B$41*(Fares!$C$36+Fares!$C$6-INDEX(Fares!$C$2:$C$40,MIN(38,MAX(0,ROUNDUP(ROUND(Fares!$B$36+Fares!$B$6-3.2,1)-0.000000001,0)))+1))</f>
        <v/>
      </c>
      <c r="G38">
        <f>Rides!$B$36/Rides!$B$41*Rides!$B$7/Rides!$B$41*(Fares!$C$36+Fares!$C$7-INDEX(Fares!$C$2:$C$40,MIN(38,MAX(0,ROUNDUP(ROUND(Fares!$B$36+Fares!$B$7-3.2,1)-0.000000001,0)))+1))</f>
        <v/>
      </c>
      <c r="H38">
        <f>Rides!$B$36/Rides!$B$41*Rides!$B$8/Rides!$B$41*(Fares!$C$36+Fares!$C$8-INDEX(Fares!$C$2:$C$40,MIN(38,MAX(0,ROUNDUP(ROUND(Fares!$B$36+Fares!$B$8-3.2,1)-0.000000001,0)))+1))</f>
        <v/>
      </c>
      <c r="I38">
        <f>Rides!$B$36/Rides!$B$41*Rides!$B$9/Rides!$B$41*(Fares!$C$36+Fares!$C$9-INDEX(Fares!$C$2:$C$40,MIN(38,MAX(0,ROUNDUP(ROUND(Fares!$B$36+Fares!$B$9-3.2,1)-0.000000001,0)))+1))</f>
        <v/>
      </c>
      <c r="J38">
        <f>Rides!$B$36/Rides!$B$41*Rides!$B$10/Rides!$B$41*(Fares!$C$36+Fares!$C$10-INDEX(Fares!$C$2:$C$40,MIN(38,MAX(0,ROUNDUP(ROUND(Fares!$B$36+Fares!$B$10-3.2,1)-0.000000001,0)))+1))</f>
        <v/>
      </c>
      <c r="K38">
        <f>Rides!$B$36/Rides!$B$41*Rides!$B$11/Rides!$B$41*(Fares!$C$36+Fares!$C$11-INDEX(Fares!$C$2:$C$40,MIN(38,MAX(0,ROUNDUP(ROUND(Fares!$B$36+Fares!$B$11-3.2,1)-0.000000001,0)))+1))</f>
        <v/>
      </c>
      <c r="L38">
        <f>Rides!$B$36/Rides!$B$41*Rides!$B$12/Rides!$B$41*(Fares!$C$36+Fares!$C$12-INDEX(Fares!$C$2:$C$40,MIN(38,MAX(0,ROUNDUP(ROUND(Fares!$B$36+Fares!$B$12-3.2,1)-0.000000001,0)))+1))</f>
        <v/>
      </c>
      <c r="M38">
        <f>Rides!$B$36/Rides!$B$41*Rides!$B$13/Rides!$B$41*(Fares!$C$36+Fares!$C$13-INDEX(Fares!$C$2:$C$40,MIN(38,MAX(0,ROUNDUP(ROUND(Fares!$B$36+Fares!$B$13-3.2,1)-0.000000001,0)))+1))</f>
        <v/>
      </c>
      <c r="N38">
        <f>Rides!$B$36/Rides!$B$41*Rides!$B$14/Rides!$B$41*(Fares!$C$36+Fares!$C$14-INDEX(Fares!$C$2:$C$40,MIN(38,MAX(0,ROUNDUP(ROUND(Fares!$B$36+Fares!$B$14-3.2,1)-0.000000001,0)))+1))</f>
        <v/>
      </c>
      <c r="O38">
        <f>Rides!$B$36/Rides!$B$41*Rides!$B$15/Rides!$B$41*(Fares!$C$36+Fares!$C$15-INDEX(Fares!$C$2:$C$40,MIN(38,MAX(0,ROUNDUP(ROUND(Fares!$B$36+Fares!$B$15-3.2,1)-0.000000001,0)))+1))</f>
        <v/>
      </c>
      <c r="P38">
        <f>Rides!$B$36/Rides!$B$41*Rides!$B$16/Rides!$B$41*(Fares!$C$36+Fares!$C$16-INDEX(Fares!$C$2:$C$40,MIN(38,MAX(0,ROUNDUP(ROUND(Fares!$B$36+Fares!$B$16-3.2,1)-0.000000001,0)))+1))</f>
        <v/>
      </c>
      <c r="Q38">
        <f>Rides!$B$36/Rides!$B$41*Rides!$B$17/Rides!$B$41*(Fares!$C$36+Fares!$C$17-INDEX(Fares!$C$2:$C$40,MIN(38,MAX(0,ROUNDUP(ROUND(Fares!$B$36+Fares!$B$17-3.2,1)-0.000000001,0)))+1))</f>
        <v/>
      </c>
      <c r="R38">
        <f>Rides!$B$36/Rides!$B$41*Rides!$B$18/Rides!$B$41*(Fares!$C$36+Fares!$C$18-INDEX(Fares!$C$2:$C$40,MIN(38,MAX(0,ROUNDUP(ROUND(Fares!$B$36+Fares!$B$18-3.2,1)-0.000000001,0)))+1))</f>
        <v/>
      </c>
      <c r="S38">
        <f>Rides!$B$36/Rides!$B$41*Rides!$B$19/Rides!$B$41*(Fares!$C$36+Fares!$C$19-INDEX(Fares!$C$2:$C$40,MIN(38,MAX(0,ROUNDUP(ROUND(Fares!$B$36+Fares!$B$19-3.2,1)-0.000000001,0)))+1))</f>
        <v/>
      </c>
      <c r="T38">
        <f>Rides!$B$36/Rides!$B$41*Rides!$B$20/Rides!$B$41*(Fares!$C$36+Fares!$C$20-INDEX(Fares!$C$2:$C$40,MIN(38,MAX(0,ROUNDUP(ROUND(Fares!$B$36+Fares!$B$20-3.2,1)-0.000000001,0)))+1))</f>
        <v/>
      </c>
      <c r="U38">
        <f>Rides!$B$36/Rides!$B$41*Rides!$B$21/Rides!$B$41*(Fares!$C$36+Fares!$C$21-INDEX(Fares!$C$2:$C$40,MIN(38,MAX(0,ROUNDUP(ROUND(Fares!$B$36+Fares!$B$21-3.2,1)-0.000000001,0)))+1))</f>
        <v/>
      </c>
      <c r="V38">
        <f>Rides!$B$36/Rides!$B$41*Rides!$B$22/Rides!$B$41*(Fares!$C$36+Fares!$C$22-INDEX(Fares!$C$2:$C$40,MIN(38,MAX(0,ROUNDUP(ROUND(Fares!$B$36+Fares!$B$22-3.2,1)-0.000000001,0)))+1))</f>
        <v/>
      </c>
      <c r="W38">
        <f>Rides!$B$36/Rides!$B$41*Rides!$B$23/Rides!$B$41*(Fares!$C$36+Fares!$C$23-INDEX(Fares!$C$2:$C$40,MIN(38,MAX(0,ROUNDUP(ROUND(Fares!$B$36+Fares!$B$23-3.2,1)-0.000000001,0)))+1))</f>
        <v/>
      </c>
      <c r="X38">
        <f>Rides!$B$36/Rides!$B$41*Rides!$B$24/Rides!$B$41*(Fares!$C$36+Fares!$C$24-INDEX(Fares!$C$2:$C$40,MIN(38,MAX(0,ROUNDUP(ROUND(Fares!$B$36+Fares!$B$24-3.2,1)-0.000000001,0)))+1))</f>
        <v/>
      </c>
      <c r="Y38">
        <f>Rides!$B$36/Rides!$B$41*Rides!$B$25/Rides!$B$41*(Fares!$C$36+Fares!$C$25-INDEX(Fares!$C$2:$C$40,MIN(38,MAX(0,ROUNDUP(ROUND(Fares!$B$36+Fares!$B$25-3.2,1)-0.000000001,0)))+1))</f>
        <v/>
      </c>
      <c r="Z38">
        <f>Rides!$B$36/Rides!$B$41*Rides!$B$26/Rides!$B$41*(Fares!$C$36+Fares!$C$26-INDEX(Fares!$C$2:$C$40,MIN(38,MAX(0,ROUNDUP(ROUND(Fares!$B$36+Fares!$B$26-3.2,1)-0.000000001,0)))+1))</f>
        <v/>
      </c>
      <c r="AA38">
        <f>Rides!$B$36/Rides!$B$41*Rides!$B$27/Rides!$B$41*(Fares!$C$36+Fares!$C$27-INDEX(Fares!$C$2:$C$40,MIN(38,MAX(0,ROUNDUP(ROUND(Fares!$B$36+Fares!$B$27-3.2,1)-0.000000001,0)))+1))</f>
        <v/>
      </c>
      <c r="AB38">
        <f>Rides!$B$36/Rides!$B$41*Rides!$B$28/Rides!$B$41*(Fares!$C$36+Fares!$C$28-INDEX(Fares!$C$2:$C$40,MIN(38,MAX(0,ROUNDUP(ROUND(Fares!$B$36+Fares!$B$28-3.2,1)-0.000000001,0)))+1))</f>
        <v/>
      </c>
      <c r="AC38">
        <f>Rides!$B$36/Rides!$B$41*Rides!$B$29/Rides!$B$41*(Fares!$C$36+Fares!$C$29-INDEX(Fares!$C$2:$C$40,MIN(38,MAX(0,ROUNDUP(ROUND(Fares!$B$36+Fares!$B$29-3.2,1)-0.000000001,0)))+1))</f>
        <v/>
      </c>
      <c r="AD38">
        <f>Rides!$B$36/Rides!$B$41*Rides!$B$30/Rides!$B$41*(Fares!$C$36+Fares!$C$30-INDEX(Fares!$C$2:$C$40,MIN(38,MAX(0,ROUNDUP(ROUND(Fares!$B$36+Fares!$B$30-3.2,1)-0.000000001,0)))+1))</f>
        <v/>
      </c>
      <c r="AE38">
        <f>Rides!$B$36/Rides!$B$41*Rides!$B$31/Rides!$B$41*(Fares!$C$36+Fares!$C$31-INDEX(Fares!$C$2:$C$40,MIN(38,MAX(0,ROUNDUP(ROUND(Fares!$B$36+Fares!$B$31-3.2,1)-0.000000001,0)))+1))</f>
        <v/>
      </c>
      <c r="AF38">
        <f>Rides!$B$36/Rides!$B$41*Rides!$B$32/Rides!$B$41*(Fares!$C$36+Fares!$C$32-INDEX(Fares!$C$2:$C$40,MIN(38,MAX(0,ROUNDUP(ROUND(Fares!$B$36+Fares!$B$32-3.2,1)-0.000000001,0)))+1))</f>
        <v/>
      </c>
      <c r="AG38">
        <f>Rides!$B$36/Rides!$B$41*Rides!$B$33/Rides!$B$41*(Fares!$C$36+Fares!$C$33-INDEX(Fares!$C$2:$C$40,MIN(38,MAX(0,ROUNDUP(ROUND(Fares!$B$36+Fares!$B$33-3.2,1)-0.000000001,0)))+1))</f>
        <v/>
      </c>
      <c r="AH38">
        <f>Rides!$B$36/Rides!$B$41*Rides!$B$34/Rides!$B$41*(Fares!$C$36+Fares!$C$34-INDEX(Fares!$C$2:$C$40,MIN(38,MAX(0,ROUNDUP(ROUND(Fares!$B$36+Fares!$B$34-3.2,1)-0.000000001,0)))+1))</f>
        <v/>
      </c>
      <c r="AI38">
        <f>Rides!$B$36/Rides!$B$41*Rides!$B$35/Rides!$B$41*(Fares!$C$36+Fares!$C$35-INDEX(Fares!$C$2:$C$40,MIN(38,MAX(0,ROUNDUP(ROUND(Fares!$B$36+Fares!$B$35-3.2,1)-0.000000001,0)))+1))</f>
        <v/>
      </c>
      <c r="AJ38">
        <f>Rides!$B$36/Rides!$B$41*Rides!$B$36/Rides!$B$41*(Fares!$C$36+Fares!$C$36-INDEX(Fares!$C$2:$C$40,MIN(38,MAX(0,ROUNDUP(ROUND(Fares!$B$36+Fares!$B$36-3.2,1)-0.000000001,0)))+1))</f>
        <v/>
      </c>
      <c r="AK38">
        <f>Rides!$B$36/Rides!$B$41*Rides!$B$37/Rides!$B$41*(Fares!$C$36+Fares!$C$37-INDEX(Fares!$C$2:$C$40,MIN(38,MAX(0,ROUNDUP(ROUND(Fares!$B$36+Fares!$B$37-3.2,1)-0.000000001,0)))+1))</f>
        <v/>
      </c>
      <c r="AL38">
        <f>Rides!$B$36/Rides!$B$41*Rides!$B$38/Rides!$B$41*(Fares!$C$36+Fares!$C$38-INDEX(Fares!$C$2:$C$40,MIN(38,MAX(0,ROUNDUP(ROUND(Fares!$B$36+Fares!$B$38-3.2,1)-0.000000001,0)))+1))</f>
        <v/>
      </c>
      <c r="AM38">
        <f>Rides!$B$36/Rides!$B$41*Rides!$B$39/Rides!$B$41*(Fares!$C$36+Fares!$C$39-INDEX(Fares!$C$2:$C$40,MIN(38,MAX(0,ROUNDUP(ROUND(Fares!$B$36+Fares!$B$39-3.2,1)-0.000000001,0)))+1))</f>
        <v/>
      </c>
      <c r="AN38">
        <f>Rides!$B$36/Rides!$B$41*Rides!$B$40/Rides!$B$41*(Fares!$C$36+Fares!$C$40-INDEX(Fares!$C$2:$C$40,MIN(38,MAX(0,ROUNDUP(ROUND(Fares!$B$36+Fares!$B$40-3.2,1)-0.000000001,0)))+1))</f>
        <v/>
      </c>
    </row>
    <row r="39">
      <c r="A39">
        <f>Fares!$B$37</f>
        <v/>
      </c>
      <c r="B39">
        <f>Rides!$B$37/Rides!$B$41*Rides!$B$2/Rides!$B$41*(Fares!$C$37+Fares!$C$2-INDEX(Fares!$C$2:$C$40,MIN(38,MAX(0,ROUNDUP(ROUND(Fares!$B$37+Fares!$B$2-3.2,1)-0.000000001,0)))+1))</f>
        <v/>
      </c>
      <c r="C39">
        <f>Rides!$B$37/Rides!$B$41*Rides!$B$3/Rides!$B$41*(Fares!$C$37+Fares!$C$3-INDEX(Fares!$C$2:$C$40,MIN(38,MAX(0,ROUNDUP(ROUND(Fares!$B$37+Fares!$B$3-3.2,1)-0.000000001,0)))+1))</f>
        <v/>
      </c>
      <c r="D39">
        <f>Rides!$B$37/Rides!$B$41*Rides!$B$4/Rides!$B$41*(Fares!$C$37+Fares!$C$4-INDEX(Fares!$C$2:$C$40,MIN(38,MAX(0,ROUNDUP(ROUND(Fares!$B$37+Fares!$B$4-3.2,1)-0.000000001,0)))+1))</f>
        <v/>
      </c>
      <c r="E39">
        <f>Rides!$B$37/Rides!$B$41*Rides!$B$5/Rides!$B$41*(Fares!$C$37+Fares!$C$5-INDEX(Fares!$C$2:$C$40,MIN(38,MAX(0,ROUNDUP(ROUND(Fares!$B$37+Fares!$B$5-3.2,1)-0.000000001,0)))+1))</f>
        <v/>
      </c>
      <c r="F39">
        <f>Rides!$B$37/Rides!$B$41*Rides!$B$6/Rides!$B$41*(Fares!$C$37+Fares!$C$6-INDEX(Fares!$C$2:$C$40,MIN(38,MAX(0,ROUNDUP(ROUND(Fares!$B$37+Fares!$B$6-3.2,1)-0.000000001,0)))+1))</f>
        <v/>
      </c>
      <c r="G39">
        <f>Rides!$B$37/Rides!$B$41*Rides!$B$7/Rides!$B$41*(Fares!$C$37+Fares!$C$7-INDEX(Fares!$C$2:$C$40,MIN(38,MAX(0,ROUNDUP(ROUND(Fares!$B$37+Fares!$B$7-3.2,1)-0.000000001,0)))+1))</f>
        <v/>
      </c>
      <c r="H39">
        <f>Rides!$B$37/Rides!$B$41*Rides!$B$8/Rides!$B$41*(Fares!$C$37+Fares!$C$8-INDEX(Fares!$C$2:$C$40,MIN(38,MAX(0,ROUNDUP(ROUND(Fares!$B$37+Fares!$B$8-3.2,1)-0.000000001,0)))+1))</f>
        <v/>
      </c>
      <c r="I39">
        <f>Rides!$B$37/Rides!$B$41*Rides!$B$9/Rides!$B$41*(Fares!$C$37+Fares!$C$9-INDEX(Fares!$C$2:$C$40,MIN(38,MAX(0,ROUNDUP(ROUND(Fares!$B$37+Fares!$B$9-3.2,1)-0.000000001,0)))+1))</f>
        <v/>
      </c>
      <c r="J39">
        <f>Rides!$B$37/Rides!$B$41*Rides!$B$10/Rides!$B$41*(Fares!$C$37+Fares!$C$10-INDEX(Fares!$C$2:$C$40,MIN(38,MAX(0,ROUNDUP(ROUND(Fares!$B$37+Fares!$B$10-3.2,1)-0.000000001,0)))+1))</f>
        <v/>
      </c>
      <c r="K39">
        <f>Rides!$B$37/Rides!$B$41*Rides!$B$11/Rides!$B$41*(Fares!$C$37+Fares!$C$11-INDEX(Fares!$C$2:$C$40,MIN(38,MAX(0,ROUNDUP(ROUND(Fares!$B$37+Fares!$B$11-3.2,1)-0.000000001,0)))+1))</f>
        <v/>
      </c>
      <c r="L39">
        <f>Rides!$B$37/Rides!$B$41*Rides!$B$12/Rides!$B$41*(Fares!$C$37+Fares!$C$12-INDEX(Fares!$C$2:$C$40,MIN(38,MAX(0,ROUNDUP(ROUND(Fares!$B$37+Fares!$B$12-3.2,1)-0.000000001,0)))+1))</f>
        <v/>
      </c>
      <c r="M39">
        <f>Rides!$B$37/Rides!$B$41*Rides!$B$13/Rides!$B$41*(Fares!$C$37+Fares!$C$13-INDEX(Fares!$C$2:$C$40,MIN(38,MAX(0,ROUNDUP(ROUND(Fares!$B$37+Fares!$B$13-3.2,1)-0.000000001,0)))+1))</f>
        <v/>
      </c>
      <c r="N39">
        <f>Rides!$B$37/Rides!$B$41*Rides!$B$14/Rides!$B$41*(Fares!$C$37+Fares!$C$14-INDEX(Fares!$C$2:$C$40,MIN(38,MAX(0,ROUNDUP(ROUND(Fares!$B$37+Fares!$B$14-3.2,1)-0.000000001,0)))+1))</f>
        <v/>
      </c>
      <c r="O39">
        <f>Rides!$B$37/Rides!$B$41*Rides!$B$15/Rides!$B$41*(Fares!$C$37+Fares!$C$15-INDEX(Fares!$C$2:$C$40,MIN(38,MAX(0,ROUNDUP(ROUND(Fares!$B$37+Fares!$B$15-3.2,1)-0.000000001,0)))+1))</f>
        <v/>
      </c>
      <c r="P39">
        <f>Rides!$B$37/Rides!$B$41*Rides!$B$16/Rides!$B$41*(Fares!$C$37+Fares!$C$16-INDEX(Fares!$C$2:$C$40,MIN(38,MAX(0,ROUNDUP(ROUND(Fares!$B$37+Fares!$B$16-3.2,1)-0.000000001,0)))+1))</f>
        <v/>
      </c>
      <c r="Q39">
        <f>Rides!$B$37/Rides!$B$41*Rides!$B$17/Rides!$B$41*(Fares!$C$37+Fares!$C$17-INDEX(Fares!$C$2:$C$40,MIN(38,MAX(0,ROUNDUP(ROUND(Fares!$B$37+Fares!$B$17-3.2,1)-0.000000001,0)))+1))</f>
        <v/>
      </c>
      <c r="R39">
        <f>Rides!$B$37/Rides!$B$41*Rides!$B$18/Rides!$B$41*(Fares!$C$37+Fares!$C$18-INDEX(Fares!$C$2:$C$40,MIN(38,MAX(0,ROUNDUP(ROUND(Fares!$B$37+Fares!$B$18-3.2,1)-0.000000001,0)))+1))</f>
        <v/>
      </c>
      <c r="S39">
        <f>Rides!$B$37/Rides!$B$41*Rides!$B$19/Rides!$B$41*(Fares!$C$37+Fares!$C$19-INDEX(Fares!$C$2:$C$40,MIN(38,MAX(0,ROUNDUP(ROUND(Fares!$B$37+Fares!$B$19-3.2,1)-0.000000001,0)))+1))</f>
        <v/>
      </c>
      <c r="T39">
        <f>Rides!$B$37/Rides!$B$41*Rides!$B$20/Rides!$B$41*(Fares!$C$37+Fares!$C$20-INDEX(Fares!$C$2:$C$40,MIN(38,MAX(0,ROUNDUP(ROUND(Fares!$B$37+Fares!$B$20-3.2,1)-0.000000001,0)))+1))</f>
        <v/>
      </c>
      <c r="U39">
        <f>Rides!$B$37/Rides!$B$41*Rides!$B$21/Rides!$B$41*(Fares!$C$37+Fares!$C$21-INDEX(Fares!$C$2:$C$40,MIN(38,MAX(0,ROUNDUP(ROUND(Fares!$B$37+Fares!$B$21-3.2,1)-0.000000001,0)))+1))</f>
        <v/>
      </c>
      <c r="V39">
        <f>Rides!$B$37/Rides!$B$41*Rides!$B$22/Rides!$B$41*(Fares!$C$37+Fares!$C$22-INDEX(Fares!$C$2:$C$40,MIN(38,MAX(0,ROUNDUP(ROUND(Fares!$B$37+Fares!$B$22-3.2,1)-0.000000001,0)))+1))</f>
        <v/>
      </c>
      <c r="W39">
        <f>Rides!$B$37/Rides!$B$41*Rides!$B$23/Rides!$B$41*(Fares!$C$37+Fares!$C$23-INDEX(Fares!$C$2:$C$40,MIN(38,MAX(0,ROUNDUP(ROUND(Fares!$B$37+Fares!$B$23-3.2,1)-0.000000001,0)))+1))</f>
        <v/>
      </c>
      <c r="X39">
        <f>Rides!$B$37/Rides!$B$41*Rides!$B$24/Rides!$B$41*(Fares!$C$37+Fares!$C$24-INDEX(Fares!$C$2:$C$40,MIN(38,MAX(0,ROUNDUP(ROUND(Fares!$B$37+Fares!$B$24-3.2,1)-0.000000001,0)))+1))</f>
        <v/>
      </c>
      <c r="Y39">
        <f>Rides!$B$37/Rides!$B$41*Rides!$B$25/Rides!$B$41*(Fares!$C$37+Fares!$C$25-INDEX(Fares!$C$2:$C$40,MIN(38,MAX(0,ROUNDUP(ROUND(Fares!$B$37+Fares!$B$25-3.2,1)-0.000000001,0)))+1))</f>
        <v/>
      </c>
      <c r="Z39">
        <f>Rides!$B$37/Rides!$B$41*Rides!$B$26/Rides!$B$41*(Fares!$C$37+Fares!$C$26-INDEX(Fares!$C$2:$C$40,MIN(38,MAX(0,ROUNDUP(ROUND(Fares!$B$37+Fares!$B$26-3.2,1)-0.000000001,0)))+1))</f>
        <v/>
      </c>
      <c r="AA39">
        <f>Rides!$B$37/Rides!$B$41*Rides!$B$27/Rides!$B$41*(Fares!$C$37+Fares!$C$27-INDEX(Fares!$C$2:$C$40,MIN(38,MAX(0,ROUNDUP(ROUND(Fares!$B$37+Fares!$B$27-3.2,1)-0.000000001,0)))+1))</f>
        <v/>
      </c>
      <c r="AB39">
        <f>Rides!$B$37/Rides!$B$41*Rides!$B$28/Rides!$B$41*(Fares!$C$37+Fares!$C$28-INDEX(Fares!$C$2:$C$40,MIN(38,MAX(0,ROUNDUP(ROUND(Fares!$B$37+Fares!$B$28-3.2,1)-0.000000001,0)))+1))</f>
        <v/>
      </c>
      <c r="AC39">
        <f>Rides!$B$37/Rides!$B$41*Rides!$B$29/Rides!$B$41*(Fares!$C$37+Fares!$C$29-INDEX(Fares!$C$2:$C$40,MIN(38,MAX(0,ROUNDUP(ROUND(Fares!$B$37+Fares!$B$29-3.2,1)-0.000000001,0)))+1))</f>
        <v/>
      </c>
      <c r="AD39">
        <f>Rides!$B$37/Rides!$B$41*Rides!$B$30/Rides!$B$41*(Fares!$C$37+Fares!$C$30-INDEX(Fares!$C$2:$C$40,MIN(38,MAX(0,ROUNDUP(ROUND(Fares!$B$37+Fares!$B$30-3.2,1)-0.000000001,0)))+1))</f>
        <v/>
      </c>
      <c r="AE39">
        <f>Rides!$B$37/Rides!$B$41*Rides!$B$31/Rides!$B$41*(Fares!$C$37+Fares!$C$31-INDEX(Fares!$C$2:$C$40,MIN(38,MAX(0,ROUNDUP(ROUND(Fares!$B$37+Fares!$B$31-3.2,1)-0.000000001,0)))+1))</f>
        <v/>
      </c>
      <c r="AF39">
        <f>Rides!$B$37/Rides!$B$41*Rides!$B$32/Rides!$B$41*(Fares!$C$37+Fares!$C$32-INDEX(Fares!$C$2:$C$40,MIN(38,MAX(0,ROUNDUP(ROUND(Fares!$B$37+Fares!$B$32-3.2,1)-0.000000001,0)))+1))</f>
        <v/>
      </c>
      <c r="AG39">
        <f>Rides!$B$37/Rides!$B$41*Rides!$B$33/Rides!$B$41*(Fares!$C$37+Fares!$C$33-INDEX(Fares!$C$2:$C$40,MIN(38,MAX(0,ROUNDUP(ROUND(Fares!$B$37+Fares!$B$33-3.2,1)-0.000000001,0)))+1))</f>
        <v/>
      </c>
      <c r="AH39">
        <f>Rides!$B$37/Rides!$B$41*Rides!$B$34/Rides!$B$41*(Fares!$C$37+Fares!$C$34-INDEX(Fares!$C$2:$C$40,MIN(38,MAX(0,ROUNDUP(ROUND(Fares!$B$37+Fares!$B$34-3.2,1)-0.000000001,0)))+1))</f>
        <v/>
      </c>
      <c r="AI39">
        <f>Rides!$B$37/Rides!$B$41*Rides!$B$35/Rides!$B$41*(Fares!$C$37+Fares!$C$35-INDEX(Fares!$C$2:$C$40,MIN(38,MAX(0,ROUNDUP(ROUND(Fares!$B$37+Fares!$B$35-3.2,1)-0.000000001,0)))+1))</f>
        <v/>
      </c>
      <c r="AJ39">
        <f>Rides!$B$37/Rides!$B$41*Rides!$B$36/Rides!$B$41*(Fares!$C$37+Fares!$C$36-INDEX(Fares!$C$2:$C$40,MIN(38,MAX(0,ROUNDUP(ROUND(Fares!$B$37+Fares!$B$36-3.2,1)-0.000000001,0)))+1))</f>
        <v/>
      </c>
      <c r="AK39">
        <f>Rides!$B$37/Rides!$B$41*Rides!$B$37/Rides!$B$41*(Fares!$C$37+Fares!$C$37-INDEX(Fares!$C$2:$C$40,MIN(38,MAX(0,ROUNDUP(ROUND(Fares!$B$37+Fares!$B$37-3.2,1)-0.000000001,0)))+1))</f>
        <v/>
      </c>
      <c r="AL39">
        <f>Rides!$B$37/Rides!$B$41*Rides!$B$38/Rides!$B$41*(Fares!$C$37+Fares!$C$38-INDEX(Fares!$C$2:$C$40,MIN(38,MAX(0,ROUNDUP(ROUND(Fares!$B$37+Fares!$B$38-3.2,1)-0.000000001,0)))+1))</f>
        <v/>
      </c>
      <c r="AM39">
        <f>Rides!$B$37/Rides!$B$41*Rides!$B$39/Rides!$B$41*(Fares!$C$37+Fares!$C$39-INDEX(Fares!$C$2:$C$40,MIN(38,MAX(0,ROUNDUP(ROUND(Fares!$B$37+Fares!$B$39-3.2,1)-0.000000001,0)))+1))</f>
        <v/>
      </c>
      <c r="AN39">
        <f>Rides!$B$37/Rides!$B$41*Rides!$B$40/Rides!$B$41*(Fares!$C$37+Fares!$C$40-INDEX(Fares!$C$2:$C$40,MIN(38,MAX(0,ROUNDUP(ROUND(Fares!$B$37+Fares!$B$40-3.2,1)-0.000000001,0)))+1))</f>
        <v/>
      </c>
    </row>
    <row r="40">
      <c r="A40">
        <f>Fares!$B$38</f>
        <v/>
      </c>
      <c r="B40">
        <f>Rides!$B$38/Rides!$B$41*Rides!$B$2/Rides!$B$41*(Fares!$C$38+Fares!$C$2-INDEX(Fares!$C$2:$C$40,MIN(38,MAX(0,ROUNDUP(ROUND(Fares!$B$38+Fares!$B$2-3.2,1)-0.000000001,0)))+1))</f>
        <v/>
      </c>
      <c r="C40">
        <f>Rides!$B$38/Rides!$B$41*Rides!$B$3/Rides!$B$41*(Fares!$C$38+Fares!$C$3-INDEX(Fares!$C$2:$C$40,MIN(38,MAX(0,ROUNDUP(ROUND(Fares!$B$38+Fares!$B$3-3.2,1)-0.000000001,0)))+1))</f>
        <v/>
      </c>
      <c r="D40">
        <f>Rides!$B$38/Rides!$B$41*Rides!$B$4/Rides!$B$41*(Fares!$C$38+Fares!$C$4-INDEX(Fares!$C$2:$C$40,MIN(38,MAX(0,ROUNDUP(ROUND(Fares!$B$38+Fares!$B$4-3.2,1)-0.000000001,0)))+1))</f>
        <v/>
      </c>
      <c r="E40">
        <f>Rides!$B$38/Rides!$B$41*Rides!$B$5/Rides!$B$41*(Fares!$C$38+Fares!$C$5-INDEX(Fares!$C$2:$C$40,MIN(38,MAX(0,ROUNDUP(ROUND(Fares!$B$38+Fares!$B$5-3.2,1)-0.000000001,0)))+1))</f>
        <v/>
      </c>
      <c r="F40">
        <f>Rides!$B$38/Rides!$B$41*Rides!$B$6/Rides!$B$41*(Fares!$C$38+Fares!$C$6-INDEX(Fares!$C$2:$C$40,MIN(38,MAX(0,ROUNDUP(ROUND(Fares!$B$38+Fares!$B$6-3.2,1)-0.000000001,0)))+1))</f>
        <v/>
      </c>
      <c r="G40">
        <f>Rides!$B$38/Rides!$B$41*Rides!$B$7/Rides!$B$41*(Fares!$C$38+Fares!$C$7-INDEX(Fares!$C$2:$C$40,MIN(38,MAX(0,ROUNDUP(ROUND(Fares!$B$38+Fares!$B$7-3.2,1)-0.000000001,0)))+1))</f>
        <v/>
      </c>
      <c r="H40">
        <f>Rides!$B$38/Rides!$B$41*Rides!$B$8/Rides!$B$41*(Fares!$C$38+Fares!$C$8-INDEX(Fares!$C$2:$C$40,MIN(38,MAX(0,ROUNDUP(ROUND(Fares!$B$38+Fares!$B$8-3.2,1)-0.000000001,0)))+1))</f>
        <v/>
      </c>
      <c r="I40">
        <f>Rides!$B$38/Rides!$B$41*Rides!$B$9/Rides!$B$41*(Fares!$C$38+Fares!$C$9-INDEX(Fares!$C$2:$C$40,MIN(38,MAX(0,ROUNDUP(ROUND(Fares!$B$38+Fares!$B$9-3.2,1)-0.000000001,0)))+1))</f>
        <v/>
      </c>
      <c r="J40">
        <f>Rides!$B$38/Rides!$B$41*Rides!$B$10/Rides!$B$41*(Fares!$C$38+Fares!$C$10-INDEX(Fares!$C$2:$C$40,MIN(38,MAX(0,ROUNDUP(ROUND(Fares!$B$38+Fares!$B$10-3.2,1)-0.000000001,0)))+1))</f>
        <v/>
      </c>
      <c r="K40">
        <f>Rides!$B$38/Rides!$B$41*Rides!$B$11/Rides!$B$41*(Fares!$C$38+Fares!$C$11-INDEX(Fares!$C$2:$C$40,MIN(38,MAX(0,ROUNDUP(ROUND(Fares!$B$38+Fares!$B$11-3.2,1)-0.000000001,0)))+1))</f>
        <v/>
      </c>
      <c r="L40">
        <f>Rides!$B$38/Rides!$B$41*Rides!$B$12/Rides!$B$41*(Fares!$C$38+Fares!$C$12-INDEX(Fares!$C$2:$C$40,MIN(38,MAX(0,ROUNDUP(ROUND(Fares!$B$38+Fares!$B$12-3.2,1)-0.000000001,0)))+1))</f>
        <v/>
      </c>
      <c r="M40">
        <f>Rides!$B$38/Rides!$B$41*Rides!$B$13/Rides!$B$41*(Fares!$C$38+Fares!$C$13-INDEX(Fares!$C$2:$C$40,MIN(38,MAX(0,ROUNDUP(ROUND(Fares!$B$38+Fares!$B$13-3.2,1)-0.000000001,0)))+1))</f>
        <v/>
      </c>
      <c r="N40">
        <f>Rides!$B$38/Rides!$B$41*Rides!$B$14/Rides!$B$41*(Fares!$C$38+Fares!$C$14-INDEX(Fares!$C$2:$C$40,MIN(38,MAX(0,ROUNDUP(ROUND(Fares!$B$38+Fares!$B$14-3.2,1)-0.000000001,0)))+1))</f>
        <v/>
      </c>
      <c r="O40">
        <f>Rides!$B$38/Rides!$B$41*Rides!$B$15/Rides!$B$41*(Fares!$C$38+Fares!$C$15-INDEX(Fares!$C$2:$C$40,MIN(38,MAX(0,ROUNDUP(ROUND(Fares!$B$38+Fares!$B$15-3.2,1)-0.000000001,0)))+1))</f>
        <v/>
      </c>
      <c r="P40">
        <f>Rides!$B$38/Rides!$B$41*Rides!$B$16/Rides!$B$41*(Fares!$C$38+Fares!$C$16-INDEX(Fares!$C$2:$C$40,MIN(38,MAX(0,ROUNDUP(ROUND(Fares!$B$38+Fares!$B$16-3.2,1)-0.000000001,0)))+1))</f>
        <v/>
      </c>
      <c r="Q40">
        <f>Rides!$B$38/Rides!$B$41*Rides!$B$17/Rides!$B$41*(Fares!$C$38+Fares!$C$17-INDEX(Fares!$C$2:$C$40,MIN(38,MAX(0,ROUNDUP(ROUND(Fares!$B$38+Fares!$B$17-3.2,1)-0.000000001,0)))+1))</f>
        <v/>
      </c>
      <c r="R40">
        <f>Rides!$B$38/Rides!$B$41*Rides!$B$18/Rides!$B$41*(Fares!$C$38+Fares!$C$18-INDEX(Fares!$C$2:$C$40,MIN(38,MAX(0,ROUNDUP(ROUND(Fares!$B$38+Fares!$B$18-3.2,1)-0.000000001,0)))+1))</f>
        <v/>
      </c>
      <c r="S40">
        <f>Rides!$B$38/Rides!$B$41*Rides!$B$19/Rides!$B$41*(Fares!$C$38+Fares!$C$19-INDEX(Fares!$C$2:$C$40,MIN(38,MAX(0,ROUNDUP(ROUND(Fares!$B$38+Fares!$B$19-3.2,1)-0.000000001,0)))+1))</f>
        <v/>
      </c>
      <c r="T40">
        <f>Rides!$B$38/Rides!$B$41*Rides!$B$20/Rides!$B$41*(Fares!$C$38+Fares!$C$20-INDEX(Fares!$C$2:$C$40,MIN(38,MAX(0,ROUNDUP(ROUND(Fares!$B$38+Fares!$B$20-3.2,1)-0.000000001,0)))+1))</f>
        <v/>
      </c>
      <c r="U40">
        <f>Rides!$B$38/Rides!$B$41*Rides!$B$21/Rides!$B$41*(Fares!$C$38+Fares!$C$21-INDEX(Fares!$C$2:$C$40,MIN(38,MAX(0,ROUNDUP(ROUND(Fares!$B$38+Fares!$B$21-3.2,1)-0.000000001,0)))+1))</f>
        <v/>
      </c>
      <c r="V40">
        <f>Rides!$B$38/Rides!$B$41*Rides!$B$22/Rides!$B$41*(Fares!$C$38+Fares!$C$22-INDEX(Fares!$C$2:$C$40,MIN(38,MAX(0,ROUNDUP(ROUND(Fares!$B$38+Fares!$B$22-3.2,1)-0.000000001,0)))+1))</f>
        <v/>
      </c>
      <c r="W40">
        <f>Rides!$B$38/Rides!$B$41*Rides!$B$23/Rides!$B$41*(Fares!$C$38+Fares!$C$23-INDEX(Fares!$C$2:$C$40,MIN(38,MAX(0,ROUNDUP(ROUND(Fares!$B$38+Fares!$B$23-3.2,1)-0.000000001,0)))+1))</f>
        <v/>
      </c>
      <c r="X40">
        <f>Rides!$B$38/Rides!$B$41*Rides!$B$24/Rides!$B$41*(Fares!$C$38+Fares!$C$24-INDEX(Fares!$C$2:$C$40,MIN(38,MAX(0,ROUNDUP(ROUND(Fares!$B$38+Fares!$B$24-3.2,1)-0.000000001,0)))+1))</f>
        <v/>
      </c>
      <c r="Y40">
        <f>Rides!$B$38/Rides!$B$41*Rides!$B$25/Rides!$B$41*(Fares!$C$38+Fares!$C$25-INDEX(Fares!$C$2:$C$40,MIN(38,MAX(0,ROUNDUP(ROUND(Fares!$B$38+Fares!$B$25-3.2,1)-0.000000001,0)))+1))</f>
        <v/>
      </c>
      <c r="Z40">
        <f>Rides!$B$38/Rides!$B$41*Rides!$B$26/Rides!$B$41*(Fares!$C$38+Fares!$C$26-INDEX(Fares!$C$2:$C$40,MIN(38,MAX(0,ROUNDUP(ROUND(Fares!$B$38+Fares!$B$26-3.2,1)-0.000000001,0)))+1))</f>
        <v/>
      </c>
      <c r="AA40">
        <f>Rides!$B$38/Rides!$B$41*Rides!$B$27/Rides!$B$41*(Fares!$C$38+Fares!$C$27-INDEX(Fares!$C$2:$C$40,MIN(38,MAX(0,ROUNDUP(ROUND(Fares!$B$38+Fares!$B$27-3.2,1)-0.000000001,0)))+1))</f>
        <v/>
      </c>
      <c r="AB40">
        <f>Rides!$B$38/Rides!$B$41*Rides!$B$28/Rides!$B$41*(Fares!$C$38+Fares!$C$28-INDEX(Fares!$C$2:$C$40,MIN(38,MAX(0,ROUNDUP(ROUND(Fares!$B$38+Fares!$B$28-3.2,1)-0.000000001,0)))+1))</f>
        <v/>
      </c>
      <c r="AC40">
        <f>Rides!$B$38/Rides!$B$41*Rides!$B$29/Rides!$B$41*(Fares!$C$38+Fares!$C$29-INDEX(Fares!$C$2:$C$40,MIN(38,MAX(0,ROUNDUP(ROUND(Fares!$B$38+Fares!$B$29-3.2,1)-0.000000001,0)))+1))</f>
        <v/>
      </c>
      <c r="AD40">
        <f>Rides!$B$38/Rides!$B$41*Rides!$B$30/Rides!$B$41*(Fares!$C$38+Fares!$C$30-INDEX(Fares!$C$2:$C$40,MIN(38,MAX(0,ROUNDUP(ROUND(Fares!$B$38+Fares!$B$30-3.2,1)-0.000000001,0)))+1))</f>
        <v/>
      </c>
      <c r="AE40">
        <f>Rides!$B$38/Rides!$B$41*Rides!$B$31/Rides!$B$41*(Fares!$C$38+Fares!$C$31-INDEX(Fares!$C$2:$C$40,MIN(38,MAX(0,ROUNDUP(ROUND(Fares!$B$38+Fares!$B$31-3.2,1)-0.000000001,0)))+1))</f>
        <v/>
      </c>
      <c r="AF40">
        <f>Rides!$B$38/Rides!$B$41*Rides!$B$32/Rides!$B$41*(Fares!$C$38+Fares!$C$32-INDEX(Fares!$C$2:$C$40,MIN(38,MAX(0,ROUNDUP(ROUND(Fares!$B$38+Fares!$B$32-3.2,1)-0.000000001,0)))+1))</f>
        <v/>
      </c>
      <c r="AG40">
        <f>Rides!$B$38/Rides!$B$41*Rides!$B$33/Rides!$B$41*(Fares!$C$38+Fares!$C$33-INDEX(Fares!$C$2:$C$40,MIN(38,MAX(0,ROUNDUP(ROUND(Fares!$B$38+Fares!$B$33-3.2,1)-0.000000001,0)))+1))</f>
        <v/>
      </c>
      <c r="AH40">
        <f>Rides!$B$38/Rides!$B$41*Rides!$B$34/Rides!$B$41*(Fares!$C$38+Fares!$C$34-INDEX(Fares!$C$2:$C$40,MIN(38,MAX(0,ROUNDUP(ROUND(Fares!$B$38+Fares!$B$34-3.2,1)-0.000000001,0)))+1))</f>
        <v/>
      </c>
      <c r="AI40">
        <f>Rides!$B$38/Rides!$B$41*Rides!$B$35/Rides!$B$41*(Fares!$C$38+Fares!$C$35-INDEX(Fares!$C$2:$C$40,MIN(38,MAX(0,ROUNDUP(ROUND(Fares!$B$38+Fares!$B$35-3.2,1)-0.000000001,0)))+1))</f>
        <v/>
      </c>
      <c r="AJ40">
        <f>Rides!$B$38/Rides!$B$41*Rides!$B$36/Rides!$B$41*(Fares!$C$38+Fares!$C$36-INDEX(Fares!$C$2:$C$40,MIN(38,MAX(0,ROUNDUP(ROUND(Fares!$B$38+Fares!$B$36-3.2,1)-0.000000001,0)))+1))</f>
        <v/>
      </c>
      <c r="AK40">
        <f>Rides!$B$38/Rides!$B$41*Rides!$B$37/Rides!$B$41*(Fares!$C$38+Fares!$C$37-INDEX(Fares!$C$2:$C$40,MIN(38,MAX(0,ROUNDUP(ROUND(Fares!$B$38+Fares!$B$37-3.2,1)-0.000000001,0)))+1))</f>
        <v/>
      </c>
      <c r="AL40">
        <f>Rides!$B$38/Rides!$B$41*Rides!$B$38/Rides!$B$41*(Fares!$C$38+Fares!$C$38-INDEX(Fares!$C$2:$C$40,MIN(38,MAX(0,ROUNDUP(ROUND(Fares!$B$38+Fares!$B$38-3.2,1)-0.000000001,0)))+1))</f>
        <v/>
      </c>
      <c r="AM40">
        <f>Rides!$B$38/Rides!$B$41*Rides!$B$39/Rides!$B$41*(Fares!$C$38+Fares!$C$39-INDEX(Fares!$C$2:$C$40,MIN(38,MAX(0,ROUNDUP(ROUND(Fares!$B$38+Fares!$B$39-3.2,1)-0.000000001,0)))+1))</f>
        <v/>
      </c>
      <c r="AN40">
        <f>Rides!$B$38/Rides!$B$41*Rides!$B$40/Rides!$B$41*(Fares!$C$38+Fares!$C$40-INDEX(Fares!$C$2:$C$40,MIN(38,MAX(0,ROUNDUP(ROUND(Fares!$B$38+Fares!$B$40-3.2,1)-0.000000001,0)))+1))</f>
        <v/>
      </c>
    </row>
    <row r="41">
      <c r="A41">
        <f>Fares!$B$39</f>
        <v/>
      </c>
      <c r="B41">
        <f>Rides!$B$39/Rides!$B$41*Rides!$B$2/Rides!$B$41*(Fares!$C$39+Fares!$C$2-INDEX(Fares!$C$2:$C$40,MIN(38,MAX(0,ROUNDUP(ROUND(Fares!$B$39+Fares!$B$2-3.2,1)-0.000000001,0)))+1))</f>
        <v/>
      </c>
      <c r="C41">
        <f>Rides!$B$39/Rides!$B$41*Rides!$B$3/Rides!$B$41*(Fares!$C$39+Fares!$C$3-INDEX(Fares!$C$2:$C$40,MIN(38,MAX(0,ROUNDUP(ROUND(Fares!$B$39+Fares!$B$3-3.2,1)-0.000000001,0)))+1))</f>
        <v/>
      </c>
      <c r="D41">
        <f>Rides!$B$39/Rides!$B$41*Rides!$B$4/Rides!$B$41*(Fares!$C$39+Fares!$C$4-INDEX(Fares!$C$2:$C$40,MIN(38,MAX(0,ROUNDUP(ROUND(Fares!$B$39+Fares!$B$4-3.2,1)-0.000000001,0)))+1))</f>
        <v/>
      </c>
      <c r="E41">
        <f>Rides!$B$39/Rides!$B$41*Rides!$B$5/Rides!$B$41*(Fares!$C$39+Fares!$C$5-INDEX(Fares!$C$2:$C$40,MIN(38,MAX(0,ROUNDUP(ROUND(Fares!$B$39+Fares!$B$5-3.2,1)-0.000000001,0)))+1))</f>
        <v/>
      </c>
      <c r="F41">
        <f>Rides!$B$39/Rides!$B$41*Rides!$B$6/Rides!$B$41*(Fares!$C$39+Fares!$C$6-INDEX(Fares!$C$2:$C$40,MIN(38,MAX(0,ROUNDUP(ROUND(Fares!$B$39+Fares!$B$6-3.2,1)-0.000000001,0)))+1))</f>
        <v/>
      </c>
      <c r="G41">
        <f>Rides!$B$39/Rides!$B$41*Rides!$B$7/Rides!$B$41*(Fares!$C$39+Fares!$C$7-INDEX(Fares!$C$2:$C$40,MIN(38,MAX(0,ROUNDUP(ROUND(Fares!$B$39+Fares!$B$7-3.2,1)-0.000000001,0)))+1))</f>
        <v/>
      </c>
      <c r="H41">
        <f>Rides!$B$39/Rides!$B$41*Rides!$B$8/Rides!$B$41*(Fares!$C$39+Fares!$C$8-INDEX(Fares!$C$2:$C$40,MIN(38,MAX(0,ROUNDUP(ROUND(Fares!$B$39+Fares!$B$8-3.2,1)-0.000000001,0)))+1))</f>
        <v/>
      </c>
      <c r="I41">
        <f>Rides!$B$39/Rides!$B$41*Rides!$B$9/Rides!$B$41*(Fares!$C$39+Fares!$C$9-INDEX(Fares!$C$2:$C$40,MIN(38,MAX(0,ROUNDUP(ROUND(Fares!$B$39+Fares!$B$9-3.2,1)-0.000000001,0)))+1))</f>
        <v/>
      </c>
      <c r="J41">
        <f>Rides!$B$39/Rides!$B$41*Rides!$B$10/Rides!$B$41*(Fares!$C$39+Fares!$C$10-INDEX(Fares!$C$2:$C$40,MIN(38,MAX(0,ROUNDUP(ROUND(Fares!$B$39+Fares!$B$10-3.2,1)-0.000000001,0)))+1))</f>
        <v/>
      </c>
      <c r="K41">
        <f>Rides!$B$39/Rides!$B$41*Rides!$B$11/Rides!$B$41*(Fares!$C$39+Fares!$C$11-INDEX(Fares!$C$2:$C$40,MIN(38,MAX(0,ROUNDUP(ROUND(Fares!$B$39+Fares!$B$11-3.2,1)-0.000000001,0)))+1))</f>
        <v/>
      </c>
      <c r="L41">
        <f>Rides!$B$39/Rides!$B$41*Rides!$B$12/Rides!$B$41*(Fares!$C$39+Fares!$C$12-INDEX(Fares!$C$2:$C$40,MIN(38,MAX(0,ROUNDUP(ROUND(Fares!$B$39+Fares!$B$12-3.2,1)-0.000000001,0)))+1))</f>
        <v/>
      </c>
      <c r="M41">
        <f>Rides!$B$39/Rides!$B$41*Rides!$B$13/Rides!$B$41*(Fares!$C$39+Fares!$C$13-INDEX(Fares!$C$2:$C$40,MIN(38,MAX(0,ROUNDUP(ROUND(Fares!$B$39+Fares!$B$13-3.2,1)-0.000000001,0)))+1))</f>
        <v/>
      </c>
      <c r="N41">
        <f>Rides!$B$39/Rides!$B$41*Rides!$B$14/Rides!$B$41*(Fares!$C$39+Fares!$C$14-INDEX(Fares!$C$2:$C$40,MIN(38,MAX(0,ROUNDUP(ROUND(Fares!$B$39+Fares!$B$14-3.2,1)-0.000000001,0)))+1))</f>
        <v/>
      </c>
      <c r="O41">
        <f>Rides!$B$39/Rides!$B$41*Rides!$B$15/Rides!$B$41*(Fares!$C$39+Fares!$C$15-INDEX(Fares!$C$2:$C$40,MIN(38,MAX(0,ROUNDUP(ROUND(Fares!$B$39+Fares!$B$15-3.2,1)-0.000000001,0)))+1))</f>
        <v/>
      </c>
      <c r="P41">
        <f>Rides!$B$39/Rides!$B$41*Rides!$B$16/Rides!$B$41*(Fares!$C$39+Fares!$C$16-INDEX(Fares!$C$2:$C$40,MIN(38,MAX(0,ROUNDUP(ROUND(Fares!$B$39+Fares!$B$16-3.2,1)-0.000000001,0)))+1))</f>
        <v/>
      </c>
      <c r="Q41">
        <f>Rides!$B$39/Rides!$B$41*Rides!$B$17/Rides!$B$41*(Fares!$C$39+Fares!$C$17-INDEX(Fares!$C$2:$C$40,MIN(38,MAX(0,ROUNDUP(ROUND(Fares!$B$39+Fares!$B$17-3.2,1)-0.000000001,0)))+1))</f>
        <v/>
      </c>
      <c r="R41">
        <f>Rides!$B$39/Rides!$B$41*Rides!$B$18/Rides!$B$41*(Fares!$C$39+Fares!$C$18-INDEX(Fares!$C$2:$C$40,MIN(38,MAX(0,ROUNDUP(ROUND(Fares!$B$39+Fares!$B$18-3.2,1)-0.000000001,0)))+1))</f>
        <v/>
      </c>
      <c r="S41">
        <f>Rides!$B$39/Rides!$B$41*Rides!$B$19/Rides!$B$41*(Fares!$C$39+Fares!$C$19-INDEX(Fares!$C$2:$C$40,MIN(38,MAX(0,ROUNDUP(ROUND(Fares!$B$39+Fares!$B$19-3.2,1)-0.000000001,0)))+1))</f>
        <v/>
      </c>
      <c r="T41">
        <f>Rides!$B$39/Rides!$B$41*Rides!$B$20/Rides!$B$41*(Fares!$C$39+Fares!$C$20-INDEX(Fares!$C$2:$C$40,MIN(38,MAX(0,ROUNDUP(ROUND(Fares!$B$39+Fares!$B$20-3.2,1)-0.000000001,0)))+1))</f>
        <v/>
      </c>
      <c r="U41">
        <f>Rides!$B$39/Rides!$B$41*Rides!$B$21/Rides!$B$41*(Fares!$C$39+Fares!$C$21-INDEX(Fares!$C$2:$C$40,MIN(38,MAX(0,ROUNDUP(ROUND(Fares!$B$39+Fares!$B$21-3.2,1)-0.000000001,0)))+1))</f>
        <v/>
      </c>
      <c r="V41">
        <f>Rides!$B$39/Rides!$B$41*Rides!$B$22/Rides!$B$41*(Fares!$C$39+Fares!$C$22-INDEX(Fares!$C$2:$C$40,MIN(38,MAX(0,ROUNDUP(ROUND(Fares!$B$39+Fares!$B$22-3.2,1)-0.000000001,0)))+1))</f>
        <v/>
      </c>
      <c r="W41">
        <f>Rides!$B$39/Rides!$B$41*Rides!$B$23/Rides!$B$41*(Fares!$C$39+Fares!$C$23-INDEX(Fares!$C$2:$C$40,MIN(38,MAX(0,ROUNDUP(ROUND(Fares!$B$39+Fares!$B$23-3.2,1)-0.000000001,0)))+1))</f>
        <v/>
      </c>
      <c r="X41">
        <f>Rides!$B$39/Rides!$B$41*Rides!$B$24/Rides!$B$41*(Fares!$C$39+Fares!$C$24-INDEX(Fares!$C$2:$C$40,MIN(38,MAX(0,ROUNDUP(ROUND(Fares!$B$39+Fares!$B$24-3.2,1)-0.000000001,0)))+1))</f>
        <v/>
      </c>
      <c r="Y41">
        <f>Rides!$B$39/Rides!$B$41*Rides!$B$25/Rides!$B$41*(Fares!$C$39+Fares!$C$25-INDEX(Fares!$C$2:$C$40,MIN(38,MAX(0,ROUNDUP(ROUND(Fares!$B$39+Fares!$B$25-3.2,1)-0.000000001,0)))+1))</f>
        <v/>
      </c>
      <c r="Z41">
        <f>Rides!$B$39/Rides!$B$41*Rides!$B$26/Rides!$B$41*(Fares!$C$39+Fares!$C$26-INDEX(Fares!$C$2:$C$40,MIN(38,MAX(0,ROUNDUP(ROUND(Fares!$B$39+Fares!$B$26-3.2,1)-0.000000001,0)))+1))</f>
        <v/>
      </c>
      <c r="AA41">
        <f>Rides!$B$39/Rides!$B$41*Rides!$B$27/Rides!$B$41*(Fares!$C$39+Fares!$C$27-INDEX(Fares!$C$2:$C$40,MIN(38,MAX(0,ROUNDUP(ROUND(Fares!$B$39+Fares!$B$27-3.2,1)-0.000000001,0)))+1))</f>
        <v/>
      </c>
      <c r="AB41">
        <f>Rides!$B$39/Rides!$B$41*Rides!$B$28/Rides!$B$41*(Fares!$C$39+Fares!$C$28-INDEX(Fares!$C$2:$C$40,MIN(38,MAX(0,ROUNDUP(ROUND(Fares!$B$39+Fares!$B$28-3.2,1)-0.000000001,0)))+1))</f>
        <v/>
      </c>
      <c r="AC41">
        <f>Rides!$B$39/Rides!$B$41*Rides!$B$29/Rides!$B$41*(Fares!$C$39+Fares!$C$29-INDEX(Fares!$C$2:$C$40,MIN(38,MAX(0,ROUNDUP(ROUND(Fares!$B$39+Fares!$B$29-3.2,1)-0.000000001,0)))+1))</f>
        <v/>
      </c>
      <c r="AD41">
        <f>Rides!$B$39/Rides!$B$41*Rides!$B$30/Rides!$B$41*(Fares!$C$39+Fares!$C$30-INDEX(Fares!$C$2:$C$40,MIN(38,MAX(0,ROUNDUP(ROUND(Fares!$B$39+Fares!$B$30-3.2,1)-0.000000001,0)))+1))</f>
        <v/>
      </c>
      <c r="AE41">
        <f>Rides!$B$39/Rides!$B$41*Rides!$B$31/Rides!$B$41*(Fares!$C$39+Fares!$C$31-INDEX(Fares!$C$2:$C$40,MIN(38,MAX(0,ROUNDUP(ROUND(Fares!$B$39+Fares!$B$31-3.2,1)-0.000000001,0)))+1))</f>
        <v/>
      </c>
      <c r="AF41">
        <f>Rides!$B$39/Rides!$B$41*Rides!$B$32/Rides!$B$41*(Fares!$C$39+Fares!$C$32-INDEX(Fares!$C$2:$C$40,MIN(38,MAX(0,ROUNDUP(ROUND(Fares!$B$39+Fares!$B$32-3.2,1)-0.000000001,0)))+1))</f>
        <v/>
      </c>
      <c r="AG41">
        <f>Rides!$B$39/Rides!$B$41*Rides!$B$33/Rides!$B$41*(Fares!$C$39+Fares!$C$33-INDEX(Fares!$C$2:$C$40,MIN(38,MAX(0,ROUNDUP(ROUND(Fares!$B$39+Fares!$B$33-3.2,1)-0.000000001,0)))+1))</f>
        <v/>
      </c>
      <c r="AH41">
        <f>Rides!$B$39/Rides!$B$41*Rides!$B$34/Rides!$B$41*(Fares!$C$39+Fares!$C$34-INDEX(Fares!$C$2:$C$40,MIN(38,MAX(0,ROUNDUP(ROUND(Fares!$B$39+Fares!$B$34-3.2,1)-0.000000001,0)))+1))</f>
        <v/>
      </c>
      <c r="AI41">
        <f>Rides!$B$39/Rides!$B$41*Rides!$B$35/Rides!$B$41*(Fares!$C$39+Fares!$C$35-INDEX(Fares!$C$2:$C$40,MIN(38,MAX(0,ROUNDUP(ROUND(Fares!$B$39+Fares!$B$35-3.2,1)-0.000000001,0)))+1))</f>
        <v/>
      </c>
      <c r="AJ41">
        <f>Rides!$B$39/Rides!$B$41*Rides!$B$36/Rides!$B$41*(Fares!$C$39+Fares!$C$36-INDEX(Fares!$C$2:$C$40,MIN(38,MAX(0,ROUNDUP(ROUND(Fares!$B$39+Fares!$B$36-3.2,1)-0.000000001,0)))+1))</f>
        <v/>
      </c>
      <c r="AK41">
        <f>Rides!$B$39/Rides!$B$41*Rides!$B$37/Rides!$B$41*(Fares!$C$39+Fares!$C$37-INDEX(Fares!$C$2:$C$40,MIN(38,MAX(0,ROUNDUP(ROUND(Fares!$B$39+Fares!$B$37-3.2,1)-0.000000001,0)))+1))</f>
        <v/>
      </c>
      <c r="AL41">
        <f>Rides!$B$39/Rides!$B$41*Rides!$B$38/Rides!$B$41*(Fares!$C$39+Fares!$C$38-INDEX(Fares!$C$2:$C$40,MIN(38,MAX(0,ROUNDUP(ROUND(Fares!$B$39+Fares!$B$38-3.2,1)-0.000000001,0)))+1))</f>
        <v/>
      </c>
      <c r="AM41">
        <f>Rides!$B$39/Rides!$B$41*Rides!$B$39/Rides!$B$41*(Fares!$C$39+Fares!$C$39-INDEX(Fares!$C$2:$C$40,MIN(38,MAX(0,ROUNDUP(ROUND(Fares!$B$39+Fares!$B$39-3.2,1)-0.000000001,0)))+1))</f>
        <v/>
      </c>
      <c r="AN41">
        <f>Rides!$B$39/Rides!$B$41*Rides!$B$40/Rides!$B$41*(Fares!$C$39+Fares!$C$40-INDEX(Fares!$C$2:$C$40,MIN(38,MAX(0,ROUNDUP(ROUND(Fares!$B$39+Fares!$B$40-3.2,1)-0.000000001,0)))+1))</f>
        <v/>
      </c>
    </row>
    <row r="42">
      <c r="A42">
        <f>Fares!$B$40</f>
        <v/>
      </c>
      <c r="B42">
        <f>Rides!$B$40/Rides!$B$41*Rides!$B$2/Rides!$B$41*(Fares!$C$40+Fares!$C$2-INDEX(Fares!$C$2:$C$40,MIN(38,MAX(0,ROUNDUP(ROUND(Fares!$B$40+Fares!$B$2-3.2,1)-0.000000001,0)))+1))</f>
        <v/>
      </c>
      <c r="C42">
        <f>Rides!$B$40/Rides!$B$41*Rides!$B$3/Rides!$B$41*(Fares!$C$40+Fares!$C$3-INDEX(Fares!$C$2:$C$40,MIN(38,MAX(0,ROUNDUP(ROUND(Fares!$B$40+Fares!$B$3-3.2,1)-0.000000001,0)))+1))</f>
        <v/>
      </c>
      <c r="D42">
        <f>Rides!$B$40/Rides!$B$41*Rides!$B$4/Rides!$B$41*(Fares!$C$40+Fares!$C$4-INDEX(Fares!$C$2:$C$40,MIN(38,MAX(0,ROUNDUP(ROUND(Fares!$B$40+Fares!$B$4-3.2,1)-0.000000001,0)))+1))</f>
        <v/>
      </c>
      <c r="E42">
        <f>Rides!$B$40/Rides!$B$41*Rides!$B$5/Rides!$B$41*(Fares!$C$40+Fares!$C$5-INDEX(Fares!$C$2:$C$40,MIN(38,MAX(0,ROUNDUP(ROUND(Fares!$B$40+Fares!$B$5-3.2,1)-0.000000001,0)))+1))</f>
        <v/>
      </c>
      <c r="F42">
        <f>Rides!$B$40/Rides!$B$41*Rides!$B$6/Rides!$B$41*(Fares!$C$40+Fares!$C$6-INDEX(Fares!$C$2:$C$40,MIN(38,MAX(0,ROUNDUP(ROUND(Fares!$B$40+Fares!$B$6-3.2,1)-0.000000001,0)))+1))</f>
        <v/>
      </c>
      <c r="G42">
        <f>Rides!$B$40/Rides!$B$41*Rides!$B$7/Rides!$B$41*(Fares!$C$40+Fares!$C$7-INDEX(Fares!$C$2:$C$40,MIN(38,MAX(0,ROUNDUP(ROUND(Fares!$B$40+Fares!$B$7-3.2,1)-0.000000001,0)))+1))</f>
        <v/>
      </c>
      <c r="H42">
        <f>Rides!$B$40/Rides!$B$41*Rides!$B$8/Rides!$B$41*(Fares!$C$40+Fares!$C$8-INDEX(Fares!$C$2:$C$40,MIN(38,MAX(0,ROUNDUP(ROUND(Fares!$B$40+Fares!$B$8-3.2,1)-0.000000001,0)))+1))</f>
        <v/>
      </c>
      <c r="I42">
        <f>Rides!$B$40/Rides!$B$41*Rides!$B$9/Rides!$B$41*(Fares!$C$40+Fares!$C$9-INDEX(Fares!$C$2:$C$40,MIN(38,MAX(0,ROUNDUP(ROUND(Fares!$B$40+Fares!$B$9-3.2,1)-0.000000001,0)))+1))</f>
        <v/>
      </c>
      <c r="J42">
        <f>Rides!$B$40/Rides!$B$41*Rides!$B$10/Rides!$B$41*(Fares!$C$40+Fares!$C$10-INDEX(Fares!$C$2:$C$40,MIN(38,MAX(0,ROUNDUP(ROUND(Fares!$B$40+Fares!$B$10-3.2,1)-0.000000001,0)))+1))</f>
        <v/>
      </c>
      <c r="K42">
        <f>Rides!$B$40/Rides!$B$41*Rides!$B$11/Rides!$B$41*(Fares!$C$40+Fares!$C$11-INDEX(Fares!$C$2:$C$40,MIN(38,MAX(0,ROUNDUP(ROUND(Fares!$B$40+Fares!$B$11-3.2,1)-0.000000001,0)))+1))</f>
        <v/>
      </c>
      <c r="L42">
        <f>Rides!$B$40/Rides!$B$41*Rides!$B$12/Rides!$B$41*(Fares!$C$40+Fares!$C$12-INDEX(Fares!$C$2:$C$40,MIN(38,MAX(0,ROUNDUP(ROUND(Fares!$B$40+Fares!$B$12-3.2,1)-0.000000001,0)))+1))</f>
        <v/>
      </c>
      <c r="M42">
        <f>Rides!$B$40/Rides!$B$41*Rides!$B$13/Rides!$B$41*(Fares!$C$40+Fares!$C$13-INDEX(Fares!$C$2:$C$40,MIN(38,MAX(0,ROUNDUP(ROUND(Fares!$B$40+Fares!$B$13-3.2,1)-0.000000001,0)))+1))</f>
        <v/>
      </c>
      <c r="N42">
        <f>Rides!$B$40/Rides!$B$41*Rides!$B$14/Rides!$B$41*(Fares!$C$40+Fares!$C$14-INDEX(Fares!$C$2:$C$40,MIN(38,MAX(0,ROUNDUP(ROUND(Fares!$B$40+Fares!$B$14-3.2,1)-0.000000001,0)))+1))</f>
        <v/>
      </c>
      <c r="O42">
        <f>Rides!$B$40/Rides!$B$41*Rides!$B$15/Rides!$B$41*(Fares!$C$40+Fares!$C$15-INDEX(Fares!$C$2:$C$40,MIN(38,MAX(0,ROUNDUP(ROUND(Fares!$B$40+Fares!$B$15-3.2,1)-0.000000001,0)))+1))</f>
        <v/>
      </c>
      <c r="P42">
        <f>Rides!$B$40/Rides!$B$41*Rides!$B$16/Rides!$B$41*(Fares!$C$40+Fares!$C$16-INDEX(Fares!$C$2:$C$40,MIN(38,MAX(0,ROUNDUP(ROUND(Fares!$B$40+Fares!$B$16-3.2,1)-0.000000001,0)))+1))</f>
        <v/>
      </c>
      <c r="Q42">
        <f>Rides!$B$40/Rides!$B$41*Rides!$B$17/Rides!$B$41*(Fares!$C$40+Fares!$C$17-INDEX(Fares!$C$2:$C$40,MIN(38,MAX(0,ROUNDUP(ROUND(Fares!$B$40+Fares!$B$17-3.2,1)-0.000000001,0)))+1))</f>
        <v/>
      </c>
      <c r="R42">
        <f>Rides!$B$40/Rides!$B$41*Rides!$B$18/Rides!$B$41*(Fares!$C$40+Fares!$C$18-INDEX(Fares!$C$2:$C$40,MIN(38,MAX(0,ROUNDUP(ROUND(Fares!$B$40+Fares!$B$18-3.2,1)-0.000000001,0)))+1))</f>
        <v/>
      </c>
      <c r="S42">
        <f>Rides!$B$40/Rides!$B$41*Rides!$B$19/Rides!$B$41*(Fares!$C$40+Fares!$C$19-INDEX(Fares!$C$2:$C$40,MIN(38,MAX(0,ROUNDUP(ROUND(Fares!$B$40+Fares!$B$19-3.2,1)-0.000000001,0)))+1))</f>
        <v/>
      </c>
      <c r="T42">
        <f>Rides!$B$40/Rides!$B$41*Rides!$B$20/Rides!$B$41*(Fares!$C$40+Fares!$C$20-INDEX(Fares!$C$2:$C$40,MIN(38,MAX(0,ROUNDUP(ROUND(Fares!$B$40+Fares!$B$20-3.2,1)-0.000000001,0)))+1))</f>
        <v/>
      </c>
      <c r="U42">
        <f>Rides!$B$40/Rides!$B$41*Rides!$B$21/Rides!$B$41*(Fares!$C$40+Fares!$C$21-INDEX(Fares!$C$2:$C$40,MIN(38,MAX(0,ROUNDUP(ROUND(Fares!$B$40+Fares!$B$21-3.2,1)-0.000000001,0)))+1))</f>
        <v/>
      </c>
      <c r="V42">
        <f>Rides!$B$40/Rides!$B$41*Rides!$B$22/Rides!$B$41*(Fares!$C$40+Fares!$C$22-INDEX(Fares!$C$2:$C$40,MIN(38,MAX(0,ROUNDUP(ROUND(Fares!$B$40+Fares!$B$22-3.2,1)-0.000000001,0)))+1))</f>
        <v/>
      </c>
      <c r="W42">
        <f>Rides!$B$40/Rides!$B$41*Rides!$B$23/Rides!$B$41*(Fares!$C$40+Fares!$C$23-INDEX(Fares!$C$2:$C$40,MIN(38,MAX(0,ROUNDUP(ROUND(Fares!$B$40+Fares!$B$23-3.2,1)-0.000000001,0)))+1))</f>
        <v/>
      </c>
      <c r="X42">
        <f>Rides!$B$40/Rides!$B$41*Rides!$B$24/Rides!$B$41*(Fares!$C$40+Fares!$C$24-INDEX(Fares!$C$2:$C$40,MIN(38,MAX(0,ROUNDUP(ROUND(Fares!$B$40+Fares!$B$24-3.2,1)-0.000000001,0)))+1))</f>
        <v/>
      </c>
      <c r="Y42">
        <f>Rides!$B$40/Rides!$B$41*Rides!$B$25/Rides!$B$41*(Fares!$C$40+Fares!$C$25-INDEX(Fares!$C$2:$C$40,MIN(38,MAX(0,ROUNDUP(ROUND(Fares!$B$40+Fares!$B$25-3.2,1)-0.000000001,0)))+1))</f>
        <v/>
      </c>
      <c r="Z42">
        <f>Rides!$B$40/Rides!$B$41*Rides!$B$26/Rides!$B$41*(Fares!$C$40+Fares!$C$26-INDEX(Fares!$C$2:$C$40,MIN(38,MAX(0,ROUNDUP(ROUND(Fares!$B$40+Fares!$B$26-3.2,1)-0.000000001,0)))+1))</f>
        <v/>
      </c>
      <c r="AA42">
        <f>Rides!$B$40/Rides!$B$41*Rides!$B$27/Rides!$B$41*(Fares!$C$40+Fares!$C$27-INDEX(Fares!$C$2:$C$40,MIN(38,MAX(0,ROUNDUP(ROUND(Fares!$B$40+Fares!$B$27-3.2,1)-0.000000001,0)))+1))</f>
        <v/>
      </c>
      <c r="AB42">
        <f>Rides!$B$40/Rides!$B$41*Rides!$B$28/Rides!$B$41*(Fares!$C$40+Fares!$C$28-INDEX(Fares!$C$2:$C$40,MIN(38,MAX(0,ROUNDUP(ROUND(Fares!$B$40+Fares!$B$28-3.2,1)-0.000000001,0)))+1))</f>
        <v/>
      </c>
      <c r="AC42">
        <f>Rides!$B$40/Rides!$B$41*Rides!$B$29/Rides!$B$41*(Fares!$C$40+Fares!$C$29-INDEX(Fares!$C$2:$C$40,MIN(38,MAX(0,ROUNDUP(ROUND(Fares!$B$40+Fares!$B$29-3.2,1)-0.000000001,0)))+1))</f>
        <v/>
      </c>
      <c r="AD42">
        <f>Rides!$B$40/Rides!$B$41*Rides!$B$30/Rides!$B$41*(Fares!$C$40+Fares!$C$30-INDEX(Fares!$C$2:$C$40,MIN(38,MAX(0,ROUNDUP(ROUND(Fares!$B$40+Fares!$B$30-3.2,1)-0.000000001,0)))+1))</f>
        <v/>
      </c>
      <c r="AE42">
        <f>Rides!$B$40/Rides!$B$41*Rides!$B$31/Rides!$B$41*(Fares!$C$40+Fares!$C$31-INDEX(Fares!$C$2:$C$40,MIN(38,MAX(0,ROUNDUP(ROUND(Fares!$B$40+Fares!$B$31-3.2,1)-0.000000001,0)))+1))</f>
        <v/>
      </c>
      <c r="AF42">
        <f>Rides!$B$40/Rides!$B$41*Rides!$B$32/Rides!$B$41*(Fares!$C$40+Fares!$C$32-INDEX(Fares!$C$2:$C$40,MIN(38,MAX(0,ROUNDUP(ROUND(Fares!$B$40+Fares!$B$32-3.2,1)-0.000000001,0)))+1))</f>
        <v/>
      </c>
      <c r="AG42">
        <f>Rides!$B$40/Rides!$B$41*Rides!$B$33/Rides!$B$41*(Fares!$C$40+Fares!$C$33-INDEX(Fares!$C$2:$C$40,MIN(38,MAX(0,ROUNDUP(ROUND(Fares!$B$40+Fares!$B$33-3.2,1)-0.000000001,0)))+1))</f>
        <v/>
      </c>
      <c r="AH42">
        <f>Rides!$B$40/Rides!$B$41*Rides!$B$34/Rides!$B$41*(Fares!$C$40+Fares!$C$34-INDEX(Fares!$C$2:$C$40,MIN(38,MAX(0,ROUNDUP(ROUND(Fares!$B$40+Fares!$B$34-3.2,1)-0.000000001,0)))+1))</f>
        <v/>
      </c>
      <c r="AI42">
        <f>Rides!$B$40/Rides!$B$41*Rides!$B$35/Rides!$B$41*(Fares!$C$40+Fares!$C$35-INDEX(Fares!$C$2:$C$40,MIN(38,MAX(0,ROUNDUP(ROUND(Fares!$B$40+Fares!$B$35-3.2,1)-0.000000001,0)))+1))</f>
        <v/>
      </c>
      <c r="AJ42">
        <f>Rides!$B$40/Rides!$B$41*Rides!$B$36/Rides!$B$41*(Fares!$C$40+Fares!$C$36-INDEX(Fares!$C$2:$C$40,MIN(38,MAX(0,ROUNDUP(ROUND(Fares!$B$40+Fares!$B$36-3.2,1)-0.000000001,0)))+1))</f>
        <v/>
      </c>
      <c r="AK42">
        <f>Rides!$B$40/Rides!$B$41*Rides!$B$37/Rides!$B$41*(Fares!$C$40+Fares!$C$37-INDEX(Fares!$C$2:$C$40,MIN(38,MAX(0,ROUNDUP(ROUND(Fares!$B$40+Fares!$B$37-3.2,1)-0.000000001,0)))+1))</f>
        <v/>
      </c>
      <c r="AL42">
        <f>Rides!$B$40/Rides!$B$41*Rides!$B$38/Rides!$B$41*(Fares!$C$40+Fares!$C$38-INDEX(Fares!$C$2:$C$40,MIN(38,MAX(0,ROUNDUP(ROUND(Fares!$B$40+Fares!$B$38-3.2,1)-0.000000001,0)))+1))</f>
        <v/>
      </c>
      <c r="AM42">
        <f>Rides!$B$40/Rides!$B$41*Rides!$B$39/Rides!$B$41*(Fares!$C$40+Fares!$C$39-INDEX(Fares!$C$2:$C$40,MIN(38,MAX(0,ROUNDUP(ROUND(Fares!$B$40+Fares!$B$39-3.2,1)-0.000000001,0)))+1))</f>
        <v/>
      </c>
      <c r="AN42">
        <f>Rides!$B$40/Rides!$B$41*Rides!$B$40/Rides!$B$41*(Fares!$C$40+Fares!$C$40-INDEX(Fares!$C$2:$C$40,MIN(38,MAX(0,ROUNDUP(ROUND(Fares!$B$40+Fares!$B$40-3.2,1)-0.000000001,0)))+1))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Financial year ended</t>
        </is>
      </c>
      <c r="B1" s="3" t="inlineStr">
        <is>
          <t>Fare revenue (S$m)</t>
        </is>
      </c>
      <c r="C1" s="3" t="inlineStr">
        <is>
          <t>Lease income (S$m)</t>
        </is>
      </c>
      <c r="D1" s="3" t="inlineStr">
        <is>
          <t>Other income (S$m)</t>
        </is>
      </c>
      <c r="E1" s="3" t="inlineStr">
        <is>
          <t>Service fees and incentives (S$m)</t>
        </is>
      </c>
      <c r="F1" s="3" t="inlineStr">
        <is>
          <t>Total operating expenditure (S$m)</t>
        </is>
      </c>
      <c r="G1" s="3" t="inlineStr">
        <is>
          <t>Deficit before grants (S$m)</t>
        </is>
      </c>
      <c r="H1" s="3" t="inlineStr">
        <is>
          <t>Operating grants (S$m)</t>
        </is>
      </c>
      <c r="I1" s="3" t="inlineStr">
        <is>
          <t>Fare revenue / operating cost</t>
        </is>
      </c>
      <c r="J1" s="3" t="inlineStr">
        <is>
          <t>Deficit per ride (S$)</t>
        </is>
      </c>
    </row>
    <row r="2">
      <c r="A2" t="inlineStr">
        <is>
          <t>31 March 2026</t>
        </is>
      </c>
      <c r="B2" s="11" t="n">
        <v>1032</v>
      </c>
      <c r="C2" s="11" t="n">
        <v>124</v>
      </c>
      <c r="D2" s="11" t="n">
        <v>18</v>
      </c>
      <c r="E2" s="11" t="n">
        <v>1741</v>
      </c>
      <c r="F2" s="11" t="n">
        <v>2005</v>
      </c>
      <c r="G2" s="11" t="n">
        <v>-813</v>
      </c>
      <c r="H2" s="11" t="n">
        <v>852</v>
      </c>
      <c r="I2" s="6">
        <f>B2/F2</f>
        <v/>
      </c>
      <c r="J2" s="16">
        <f>-G2*1000000/(lta_daily*365)</f>
        <v/>
      </c>
    </row>
    <row r="3">
      <c r="A3" t="inlineStr">
        <is>
          <t>31 March 2025</t>
        </is>
      </c>
      <c r="B3" s="11" t="n">
        <v>965</v>
      </c>
      <c r="C3" s="11" t="n">
        <v>103</v>
      </c>
      <c r="D3" s="11" t="n">
        <v>10</v>
      </c>
      <c r="E3" s="11" t="n">
        <v>1623</v>
      </c>
      <c r="F3" s="11" t="n">
        <v>1890</v>
      </c>
      <c r="G3" s="11" t="n">
        <v>-787</v>
      </c>
      <c r="H3" s="11" t="n">
        <v>822</v>
      </c>
      <c r="I3" s="6">
        <f>B3/F3</f>
        <v/>
      </c>
    </row>
    <row r="4">
      <c r="A4" t="inlineStr">
        <is>
          <t>31 March 2024</t>
        </is>
      </c>
      <c r="B4" s="11" t="n">
        <v>898</v>
      </c>
      <c r="C4" s="11" t="n">
        <v>98</v>
      </c>
      <c r="D4" s="11" t="n">
        <v>7</v>
      </c>
      <c r="E4" s="11" t="n">
        <v>1606</v>
      </c>
      <c r="F4" s="11" t="n">
        <v>1878</v>
      </c>
      <c r="G4" s="11" t="n">
        <v>-852</v>
      </c>
      <c r="H4" s="11" t="n">
        <v>883</v>
      </c>
      <c r="I4" s="6">
        <f>B4/F4</f>
        <v/>
      </c>
    </row>
    <row r="5">
      <c r="A5" t="inlineStr">
        <is>
          <t>31 March 2023</t>
        </is>
      </c>
      <c r="B5" s="11" t="n">
        <v>821</v>
      </c>
      <c r="C5" s="11" t="n">
        <v>103</v>
      </c>
      <c r="D5" s="11" t="n">
        <v>8</v>
      </c>
      <c r="E5" s="11" t="n">
        <v>1679</v>
      </c>
      <c r="F5" s="11" t="n">
        <v>1966</v>
      </c>
      <c r="G5" s="11" t="n">
        <v>-1025</v>
      </c>
      <c r="H5" s="11" t="n">
        <v>1038</v>
      </c>
      <c r="I5" s="6">
        <f>B5/F5</f>
        <v/>
      </c>
    </row>
    <row r="6">
      <c r="A6" t="inlineStr">
        <is>
          <t>31 March 2022</t>
        </is>
      </c>
      <c r="B6" s="11" t="n">
        <v>643</v>
      </c>
      <c r="C6" s="11" t="n">
        <v>106</v>
      </c>
      <c r="D6" s="11" t="n">
        <v>3</v>
      </c>
      <c r="E6" s="11" t="n">
        <v>1650</v>
      </c>
      <c r="F6" s="11" t="n">
        <v>1945</v>
      </c>
      <c r="G6" s="11" t="n">
        <v>-1192</v>
      </c>
      <c r="H6" s="11" t="n">
        <v>1195</v>
      </c>
      <c r="I6" s="6">
        <f>B6/F6</f>
        <v/>
      </c>
    </row>
    <row r="7">
      <c r="A7" t="inlineStr">
        <is>
          <t>31 March 2021</t>
        </is>
      </c>
      <c r="B7" s="11" t="n">
        <v>606</v>
      </c>
      <c r="C7" s="11" t="n">
        <v>94</v>
      </c>
      <c r="D7" s="11" t="n">
        <v>0</v>
      </c>
      <c r="E7" s="11" t="n">
        <v>1536</v>
      </c>
      <c r="F7" s="11" t="n">
        <v>1821</v>
      </c>
      <c r="G7" s="11" t="n">
        <v>-1116</v>
      </c>
      <c r="H7" s="11" t="n">
        <v>1114</v>
      </c>
      <c r="I7" s="6">
        <f>B7/F7</f>
        <v/>
      </c>
    </row>
    <row r="9">
      <c r="A9" t="inlineStr">
        <is>
          <t>Source: LTA audited financial statements, note on the Bus Contracting fund (bus only; rail contracting is separate). Deficit per ride uses 2025 ridership.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4" customWidth="1" min="4" max="4"/>
    <col width="90" customWidth="1" min="5" max="5"/>
  </cols>
  <sheetData>
    <row r="1">
      <c r="A1" s="3" t="inlineStr">
        <is>
          <t>Check</t>
        </is>
      </c>
      <c r="B1" s="3" t="inlineStr">
        <is>
          <t>Model</t>
        </is>
      </c>
      <c r="C1" s="3" t="inlineStr">
        <is>
          <t>Published</t>
        </is>
      </c>
      <c r="D1" s="3" t="inlineStr">
        <is>
          <t>Model / published - 1</t>
        </is>
      </c>
      <c r="E1" s="3" t="inlineStr">
        <is>
          <t>Note</t>
        </is>
      </c>
    </row>
    <row r="2">
      <c r="A2" t="inlineStr">
        <is>
          <t>Annual bus rides</t>
        </is>
      </c>
      <c r="B2" s="12">
        <f>rides_total</f>
        <v/>
      </c>
      <c r="C2" s="12">
        <f>lta_daily*365</f>
        <v/>
      </c>
      <c r="D2" s="6">
        <f>B2/C2-1</f>
        <v/>
      </c>
      <c r="E2" t="inlineStr">
        <is>
          <t>Model: July-August 2026 OD; published: LTA average daily bus ridership 2025 x 365</t>
        </is>
      </c>
    </row>
    <row r="3">
      <c r="A3" t="inlineStr">
        <is>
          <t>Fare revenue, S$/yr (FY2025/26 restated to the Dec 2025 fares)</t>
        </is>
      </c>
      <c r="B3" s="12">
        <f>rev_now</f>
        <v/>
      </c>
      <c r="C3" s="12">
        <f>fy25_fare*1000000+old_days/365*fre2025_inc*bus_share</f>
        <v/>
      </c>
      <c r="D3" s="6">
        <f>B3/C3-1</f>
        <v/>
      </c>
      <c r="E3" t="inlineStr">
        <is>
          <t>Published FY2025/26 bus fare revenue plus the part-year of the 2025 fare review it did not include</t>
        </is>
      </c>
    </row>
    <row r="4">
      <c r="A4" t="inlineStr">
        <is>
          <t>Fare revenue, S$/yr (FY2025/26 as published)</t>
        </is>
      </c>
      <c r="B4" s="12">
        <f>rev_now</f>
        <v/>
      </c>
      <c r="C4" s="12">
        <f>fy25_fare*1000000</f>
        <v/>
      </c>
      <c r="D4" s="6">
        <f>B4/C4-1</f>
        <v/>
      </c>
      <c r="E4" t="inlineStr">
        <is>
          <t>LTA audited Bus Contracting accounts, year ended 31 March 2026</t>
        </is>
      </c>
    </row>
    <row r="5">
      <c r="A5" t="inlineStr">
        <is>
          <t>Extra revenue from the Dec 2026 fare review, S$/yr</t>
        </is>
      </c>
      <c r="B5" s="12">
        <f>dec_increase</f>
        <v/>
      </c>
      <c r="C5" s="12">
        <f>fre2026_inc*bus_share</f>
        <v/>
      </c>
      <c r="D5" s="6">
        <f>B5/C5-1</f>
        <v/>
      </c>
      <c r="E5" t="inlineStr">
        <is>
          <t>PTC FRE 2026: bus + TEL increase, scaled to bus by the FY2025/26 fare revenue split</t>
        </is>
      </c>
    </row>
    <row r="7">
      <c r="A7" t="inlineStr">
        <is>
          <t>Implied yield: published revenue / revenue if every ride paid the adult fare</t>
        </is>
      </c>
      <c r="B7" s="6">
        <f>pub_adj/adult_gross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0" customWidth="1" min="3" max="3"/>
    <col width="18" customWidth="1" min="4" max="4"/>
    <col width="8" customWidth="1" min="5" max="5"/>
    <col width="10" customWidth="1" min="6" max="6"/>
    <col width="16" customWidth="1" min="7" max="7"/>
    <col width="16" customWidth="1" min="8" max="8"/>
    <col width="80" customWidth="1" min="9" max="9"/>
  </cols>
  <sheetData>
    <row r="1">
      <c r="A1" s="3" t="inlineStr">
        <is>
          <t>Package</t>
        </is>
      </c>
      <c r="B1" s="3" t="inlineStr">
        <is>
          <t>Award date</t>
        </is>
      </c>
      <c r="C1" s="3" t="inlineStr">
        <is>
          <t>Operator</t>
        </is>
      </c>
      <c r="D1" s="3" t="inlineStr">
        <is>
          <t>Estimated total fee (S$)</t>
        </is>
      </c>
      <c r="E1" s="3" t="inlineStr">
        <is>
          <t>Years</t>
        </is>
      </c>
      <c r="F1" s="3" t="inlineStr">
        <is>
          <t>Services</t>
        </is>
      </c>
      <c r="G1" s="3" t="inlineStr">
        <is>
          <t>Fee per year (S$)</t>
        </is>
      </c>
      <c r="H1" s="3" t="inlineStr">
        <is>
          <t>Fee per service-year (S$)</t>
        </is>
      </c>
      <c r="I1" s="3" t="inlineStr">
        <is>
          <t>Source</t>
        </is>
      </c>
    </row>
    <row r="2">
      <c r="A2" t="inlineStr">
        <is>
          <t>Bulim (1st tendered term, contract PT200)</t>
        </is>
      </c>
      <c r="B2" t="inlineStr">
        <is>
          <t>2015-05-08</t>
        </is>
      </c>
      <c r="C2" t="inlineStr">
        <is>
          <t>Tower Transit Group Limited (Tower Transit Singapore)</t>
        </is>
      </c>
      <c r="D2" s="4" t="n">
        <v>556000000</v>
      </c>
      <c r="E2" s="11" t="n">
        <v>5</v>
      </c>
      <c r="F2" s="11" t="n">
        <v>26</v>
      </c>
      <c r="G2" s="12">
        <f>D2/E2</f>
        <v/>
      </c>
      <c r="H2" s="12">
        <f>G2/F2</f>
        <v/>
      </c>
      <c r="I2" t="inlineStr">
        <is>
          <t>Land Transport Authority (LTA): LTA Awards First Tendered Bus Package to Tower Transit Group Limited (Wayback Machine copy of LTA press room page) https://web.archive.org/web/20180614221232/https://www.lta.gov.sg/apps/news/page.aspx?c=2&amp;id=6bc7cedf-2390-4c4f-904c-de12115b1354</t>
        </is>
      </c>
    </row>
    <row r="3">
      <c r="A3" t="inlineStr">
        <is>
          <t>Loyang (1st tendered term, contract PT201)</t>
        </is>
      </c>
      <c r="B3" t="inlineStr">
        <is>
          <t>2015-11-23</t>
        </is>
      </c>
      <c r="C3" t="inlineStr">
        <is>
          <t>The Go-Ahead Group plc (Go-Ahead Singapore)</t>
        </is>
      </c>
      <c r="D3" s="4" t="n">
        <v>497700000</v>
      </c>
      <c r="E3" s="11" t="n">
        <v>5</v>
      </c>
      <c r="F3" s="11" t="n">
        <v>25</v>
      </c>
      <c r="G3" s="12">
        <f>D3/E3</f>
        <v/>
      </c>
      <c r="H3" s="12">
        <f>G3/F3</f>
        <v/>
      </c>
      <c r="I3" t="inlineStr">
        <is>
          <t>Land Transport Guru (enthusiast site): Loyang Bus Package (Land Transport Guru) https://landtransportguru.net/bus/bus-contracting-model/loyang-bus-package/ (secondary source)</t>
        </is>
      </c>
    </row>
    <row r="4">
      <c r="A4" t="inlineStr">
        <is>
          <t>Seletar (1st tendered term, contract PT202)</t>
        </is>
      </c>
      <c r="B4" t="inlineStr">
        <is>
          <t>2017-04-19</t>
        </is>
      </c>
      <c r="C4" t="inlineStr">
        <is>
          <t>SBS Transit Ltd</t>
        </is>
      </c>
      <c r="D4" s="4" t="n">
        <v>480332472</v>
      </c>
      <c r="E4" s="11" t="n">
        <v>5</v>
      </c>
      <c r="F4" s="11" t="n">
        <v>26</v>
      </c>
      <c r="G4" s="12">
        <f>D4/E4</f>
        <v/>
      </c>
      <c r="H4" s="12">
        <f>G4/F4</f>
        <v/>
      </c>
      <c r="I4" t="inlineStr">
        <is>
          <t>Land Transport Authority (LTA): LTA Awards Third Bus Package to SBS Transit Ltd (LTA news release 19 Apr 2017, filed on SGX) https://links.sgx.com/1.0.0/corporate-announcements/ER1XAF14P1X8UTWH/449020_News%20Release%20-%20LTA%20awards%20third%20bus%20package%20to%20SBS%20Transit.pdf</t>
        </is>
      </c>
    </row>
    <row r="5">
      <c r="A5" t="inlineStr">
        <is>
          <t>Bukit Merah (1st tendered term, contract PT203)</t>
        </is>
      </c>
      <c r="B5" t="inlineStr">
        <is>
          <t>2018-02-23</t>
        </is>
      </c>
      <c r="C5" t="inlineStr">
        <is>
          <t>SBS Transit Ltd</t>
        </is>
      </c>
      <c r="D5" s="4" t="n">
        <v>472000000</v>
      </c>
      <c r="E5" s="11" t="n">
        <v>5</v>
      </c>
      <c r="F5" s="11" t="n">
        <v>18</v>
      </c>
      <c r="G5" s="12">
        <f>D5/E5</f>
        <v/>
      </c>
      <c r="H5" s="12">
        <f>G5/F5</f>
        <v/>
      </c>
      <c r="I5" t="inlineStr">
        <is>
          <t>Land Transport Authority (LTA): LTA Awards Bukit Merah Bus Package to SBS Transit Ltd (LTA news release 23 Feb 2018, filed on SGX) https://links.sgx.com/1.0.0/corporate-announcements/VNM1O01MGDYLSB0N/489982_News%20%20Release-LTA%20Award%20of%20Bukit%20Merah%20Package.pdf</t>
        </is>
      </c>
    </row>
    <row r="6">
      <c r="A6" t="inlineStr">
        <is>
          <t>Bulim (2nd term, PT217A) + Sembawang-Yishun (PT217B), combined award</t>
        </is>
      </c>
      <c r="B6" t="inlineStr">
        <is>
          <t>2020-09-30</t>
        </is>
      </c>
      <c r="C6" t="inlineStr">
        <is>
          <t>Tower Transit Singapore Pte Ltd</t>
        </is>
      </c>
      <c r="D6" s="4" t="n">
        <v>1030000000</v>
      </c>
      <c r="E6" s="11" t="n">
        <v>5</v>
      </c>
      <c r="F6" s="11" t="n">
        <v>56</v>
      </c>
      <c r="G6" s="12">
        <f>D6/E6</f>
        <v/>
      </c>
      <c r="H6" s="12">
        <f>G6/F6</f>
        <v/>
      </c>
      <c r="I6" t="inlineStr">
        <is>
          <t>Land Transport Authority (LTA): LTA Awards Bulim and Sembawang-Yishun Bus Packages to Tower Transit https://lta.gov.sg/content/ltagov/en/newsroom/2020/9/news-releases/lta-awards-bulim-and-sembawang-yishun-bus-packages-to-tower-tran.html</t>
        </is>
      </c>
    </row>
    <row r="7">
      <c r="A7" t="inlineStr">
        <is>
          <t>Bukit Merah (2nd term, PT218A) + Jurong West (PT218B)</t>
        </is>
      </c>
      <c r="B7" t="inlineStr">
        <is>
          <t>2023-08-18</t>
        </is>
      </c>
      <c r="C7" t="inlineStr">
        <is>
          <t>Bukit Merah: SBS Transit Ltd; Jurong West: SMRT Buses Ltd</t>
        </is>
      </c>
      <c r="D7" s="4" t="n">
        <v>890000000</v>
      </c>
      <c r="E7" s="11" t="n">
        <v>5</v>
      </c>
      <c r="F7" s="11" t="n">
        <v>43</v>
      </c>
      <c r="G7" s="12">
        <f>D7/E7</f>
        <v/>
      </c>
      <c r="H7" s="12">
        <f>G7/F7</f>
        <v/>
      </c>
      <c r="I7" t="inlineStr">
        <is>
          <t>Land Transport Authority (LTA): LTA Awards Bukit Merah and Jurong West Bus Packages to SBS Transit and SMRT Buses https://www.lta.gov.sg/content/ltagov/en/newsroom/2023/8/news-releases/lta_awards_bt_merah_and_jurong_west_bus_packages.html</t>
        </is>
      </c>
    </row>
    <row r="8">
      <c r="A8" t="inlineStr">
        <is>
          <t>Seletar (2nd tendered term, PT219)</t>
        </is>
      </c>
      <c r="B8" t="inlineStr">
        <is>
          <t>2024-07-19</t>
        </is>
      </c>
      <c r="C8" t="inlineStr">
        <is>
          <t>SBS Transit Ltd</t>
        </is>
      </c>
      <c r="D8" s="4" t="n">
        <v>526000000</v>
      </c>
      <c r="E8" s="11" t="n">
        <v>5</v>
      </c>
      <c r="F8" s="11" t="n">
        <v>29</v>
      </c>
      <c r="G8" s="12">
        <f>D8/E8</f>
        <v/>
      </c>
      <c r="H8" s="12">
        <f>G8/F8</f>
        <v/>
      </c>
      <c r="I8" t="inlineStr">
        <is>
          <t>Land Transport Authority (LTA): SBS Transit Ltd to Continue Operating Seletar Bus Package https://www.lta.gov.sg/content/ltagov/en/newsroom/2024/7/news-releases/SBS_Transit_Ltd_to_continue_operating_seletar_bus_package.html</t>
        </is>
      </c>
    </row>
    <row r="9">
      <c r="A9" t="inlineStr">
        <is>
          <t>Tampines (1st tendered term, PT220)</t>
        </is>
      </c>
      <c r="B9" t="inlineStr">
        <is>
          <t>2025-09-19</t>
        </is>
      </c>
      <c r="C9" t="inlineStr">
        <is>
          <t>The Go-Ahead Group (Go-Ahead Singapore)</t>
        </is>
      </c>
      <c r="D9" s="4" t="n">
        <v>646000000</v>
      </c>
      <c r="E9" s="11" t="n">
        <v>5</v>
      </c>
      <c r="F9" s="11" t="n">
        <v>27</v>
      </c>
      <c r="G9" s="12">
        <f>D9/E9</f>
        <v/>
      </c>
      <c r="H9" s="12">
        <f>G9/F9</f>
        <v/>
      </c>
      <c r="I9" t="inlineStr">
        <is>
          <t>Land Transport Authority (LTA): LTA Awards Tampines Bus Package to Go-Ahead Singapore https://www.lta.gov.sg/content/ltagov/en/newsroom/2025/9/news-releases/lta-awards-tampines-bus-package-to-go-ahead-singapore.html</t>
        </is>
      </c>
    </row>
    <row r="10">
      <c r="A10" t="inlineStr">
        <is>
          <t>Serangoon-Eunos (1st tendered term, BC802)</t>
        </is>
      </c>
      <c r="B10" t="inlineStr">
        <is>
          <t>2026-07-16</t>
        </is>
      </c>
      <c r="C10" t="inlineStr">
        <is>
          <t>SMRT Buses Ltd</t>
        </is>
      </c>
      <c r="D10" s="4" t="n">
        <v>599500000</v>
      </c>
      <c r="E10" s="11" t="n">
        <v>5</v>
      </c>
      <c r="F10" s="11" t="n">
        <v>26</v>
      </c>
      <c r="G10" s="12">
        <f>D10/E10</f>
        <v/>
      </c>
      <c r="H10" s="12">
        <f>G10/F10</f>
        <v/>
      </c>
      <c r="I10" t="inlineStr">
        <is>
          <t>Land Transport Authority (LTA): LTA Awards Serangoon-Eunos Bus Package to SMRT Buses https://www.lta.gov.sg/content/ltagov/en/newsroom/2026/7/news-releases/lta-awards-serangoon-eunos-bus-package-to-smrt-buses.html</t>
        </is>
      </c>
    </row>
    <row r="12">
      <c r="A12" t="inlineStr">
        <is>
          <t>All tendered awards: total fee per year / total services (S$ per service-year)</t>
        </is>
      </c>
      <c r="G12" s="12">
        <f>SUM(G2:G10)/SUM(F2:F10)</f>
        <v/>
      </c>
    </row>
    <row r="13">
      <c r="A13" t="inlineStr">
        <is>
          <t>System: FY2025/26 service fees / (scheduled weekday bus-km x 365), S$ per bus-km. Indicative: the timetable estimate leaves out dead running and treats every day as a weekday</t>
        </is>
      </c>
      <c r="G13" s="16">
        <f>fy25_fees*1000000/(wd_bus_km*365)</f>
        <v/>
      </c>
    </row>
    <row r="14">
      <c r="A14" t="inlineStr">
        <is>
          <t>Values are LTA's estimated total fee at award, excluding indexation, service variation and incentives; terms exclude extension options.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</cols>
  <sheetData>
    <row r="1">
      <c r="A1" s="3" t="inlineStr">
        <is>
          <t>Financial year</t>
        </is>
      </c>
      <c r="B1" s="3" t="inlineStr">
        <is>
          <t>Fare level index</t>
        </is>
      </c>
      <c r="C1" s="3" t="inlineStr">
        <is>
          <t>Ridership index</t>
        </is>
      </c>
      <c r="D1" s="3" t="inlineStr">
        <is>
          <t>Fare revenue (S$m)</t>
        </is>
      </c>
      <c r="E1" s="3" t="inlineStr">
        <is>
          <t>Other income (S$m)</t>
        </is>
      </c>
      <c r="F1" s="3" t="inlineStr">
        <is>
          <t>Operating cost (S$m)</t>
        </is>
      </c>
      <c r="G1" s="3" t="inlineStr">
        <is>
          <t>Deficit before grants (S$m)</t>
        </is>
      </c>
      <c r="H1" s="1" t="inlineStr">
        <is>
          <t>Full-year fare level</t>
        </is>
      </c>
    </row>
    <row r="2">
      <c r="A2" t="inlineStr">
        <is>
          <t>FY2025/26 (actual)</t>
        </is>
      </c>
      <c r="B2" t="n">
        <v>1</v>
      </c>
      <c r="C2" t="n">
        <v>1</v>
      </c>
      <c r="D2">
        <f>fy25_fare</f>
        <v/>
      </c>
      <c r="E2">
        <f>Fund!C2+Fund!D2</f>
        <v/>
      </c>
      <c r="F2">
        <f>fy25_opex</f>
        <v/>
      </c>
      <c r="G2">
        <f>D2+E2-F2</f>
        <v/>
      </c>
      <c r="H2">
        <f>1+fre2025_full</f>
        <v/>
      </c>
    </row>
    <row r="3">
      <c r="A3" t="inlineStr">
        <is>
          <t>FY2026/27</t>
        </is>
      </c>
      <c r="B3" s="14">
        <f>H2*(1+95/365*dec_change)</f>
        <v/>
      </c>
      <c r="C3" s="14">
        <f>C2*(1+g_rides)</f>
        <v/>
      </c>
      <c r="D3" s="12">
        <f>fy25_fare*B3*C3</f>
        <v/>
      </c>
      <c r="E3" s="12">
        <f>E2</f>
        <v/>
      </c>
      <c r="F3" s="12">
        <f>F2*(1+g_cost)</f>
        <v/>
      </c>
      <c r="G3" s="12">
        <f>D3+E3-F3</f>
        <v/>
      </c>
      <c r="H3" s="14">
        <f>H2*(1+dec_change)</f>
        <v/>
      </c>
    </row>
    <row r="4">
      <c r="A4" t="inlineStr">
        <is>
          <t>FY2027/28</t>
        </is>
      </c>
      <c r="B4" s="14">
        <f>H3*(1+95/365*later_fre)</f>
        <v/>
      </c>
      <c r="C4" s="14">
        <f>C3*(1+g_rides)</f>
        <v/>
      </c>
      <c r="D4" s="12">
        <f>fy25_fare*B4*C4</f>
        <v/>
      </c>
      <c r="E4" s="12">
        <f>E2</f>
        <v/>
      </c>
      <c r="F4" s="12">
        <f>F3*(1+g_cost)</f>
        <v/>
      </c>
      <c r="G4" s="12">
        <f>D4+E4-F4</f>
        <v/>
      </c>
      <c r="H4" s="14">
        <f>H3*(1+later_fre)</f>
        <v/>
      </c>
    </row>
    <row r="5">
      <c r="A5" t="inlineStr">
        <is>
          <t>FY2028/29</t>
        </is>
      </c>
      <c r="B5" s="14">
        <f>H4*(1+95/365*later_fre)</f>
        <v/>
      </c>
      <c r="C5" s="14">
        <f>C4*(1+g_rides)</f>
        <v/>
      </c>
      <c r="D5" s="12">
        <f>fy25_fare*B5*C5</f>
        <v/>
      </c>
      <c r="E5" s="12">
        <f>E2</f>
        <v/>
      </c>
      <c r="F5" s="12">
        <f>F4*(1+g_cost)</f>
        <v/>
      </c>
      <c r="G5" s="12">
        <f>D5+E5-F5</f>
        <v/>
      </c>
      <c r="H5" s="14">
        <f>H4*(1+later_fre)</f>
        <v/>
      </c>
    </row>
    <row r="6">
      <c r="A6" t="inlineStr">
        <is>
          <t>FY2029/30</t>
        </is>
      </c>
      <c r="B6" s="14">
        <f>H5*(1+95/365*later_fre)</f>
        <v/>
      </c>
      <c r="C6" s="14">
        <f>C5*(1+g_rides)</f>
        <v/>
      </c>
      <c r="D6" s="12">
        <f>fy25_fare*B6*C6</f>
        <v/>
      </c>
      <c r="E6" s="12">
        <f>E2</f>
        <v/>
      </c>
      <c r="F6" s="12">
        <f>F5*(1+g_cost)</f>
        <v/>
      </c>
      <c r="G6" s="12">
        <f>D6+E6-F6</f>
        <v/>
      </c>
      <c r="H6" s="14">
        <f>H5*(1+later_fre)</f>
        <v/>
      </c>
    </row>
    <row r="7">
      <c r="A7" t="inlineStr">
        <is>
          <t>FY2030/31</t>
        </is>
      </c>
      <c r="B7" s="14">
        <f>H6*(1+95/365*later_fre)</f>
        <v/>
      </c>
      <c r="C7" s="14">
        <f>C6*(1+g_rides)</f>
        <v/>
      </c>
      <c r="D7" s="12">
        <f>fy25_fare*B7*C7</f>
        <v/>
      </c>
      <c r="E7" s="12">
        <f>E2</f>
        <v/>
      </c>
      <c r="F7" s="12">
        <f>F6*(1+g_cost)</f>
        <v/>
      </c>
      <c r="G7" s="12">
        <f>D7+E7-F7</f>
        <v/>
      </c>
      <c r="H7" s="14">
        <f>H6*(1+later_fre)</f>
        <v/>
      </c>
    </row>
    <row r="9">
      <c r="A9" t="inlineStr">
        <is>
          <t>Fare level: FY2025/26 = 1. FY2026/27 adds the rest of the 2025 review (it applied to 95 of the 365 days of FY2025/26) and 95 days of the Dec 2026 review; later years add the full-year effect of the previous review and 95 days of the next.</t>
        </is>
      </c>
    </row>
    <row r="10">
      <c r="A10" t="inlineStr">
        <is>
          <t>Rest of the 2025 review (FY2025/26 restated / published - 1)</t>
        </is>
      </c>
      <c r="B10" s="15">
        <f>pub_adj/(fy25_fare*1000000)-1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Uniform fare change: estimated revenue (S$m/yr) by price elasticity of ridership</t>
        </is>
      </c>
    </row>
    <row r="2">
      <c r="A2" t="inlineStr">
        <is>
          <t>Fare change \ elasticity</t>
        </is>
      </c>
      <c r="B2" s="11" t="n">
        <v>0</v>
      </c>
      <c r="C2" s="11" t="n">
        <v>-0.2</v>
      </c>
      <c r="D2" s="11" t="n">
        <v>-0.5</v>
      </c>
    </row>
    <row r="3">
      <c r="A3" s="5" t="n">
        <v>-0.05</v>
      </c>
      <c r="B3" s="17">
        <f>rev_now*(1+$A3)*(1+$A3)^B$2/1000000</f>
        <v/>
      </c>
      <c r="C3" s="17">
        <f>rev_now*(1+$A3)*(1+$A3)^C$2/1000000</f>
        <v/>
      </c>
      <c r="D3" s="17">
        <f>rev_now*(1+$A3)*(1+$A3)^D$2/1000000</f>
        <v/>
      </c>
    </row>
    <row r="4">
      <c r="A4" s="5" t="n">
        <v>0</v>
      </c>
      <c r="B4" s="17">
        <f>rev_now*(1+$A4)*(1+$A4)^B$2/1000000</f>
        <v/>
      </c>
      <c r="C4" s="17">
        <f>rev_now*(1+$A4)*(1+$A4)^C$2/1000000</f>
        <v/>
      </c>
      <c r="D4" s="17">
        <f>rev_now*(1+$A4)*(1+$A4)^D$2/1000000</f>
        <v/>
      </c>
    </row>
    <row r="5">
      <c r="A5" s="5" t="n">
        <v>0.05</v>
      </c>
      <c r="B5" s="17">
        <f>rev_now*(1+$A5)*(1+$A5)^B$2/1000000</f>
        <v/>
      </c>
      <c r="C5" s="17">
        <f>rev_now*(1+$A5)*(1+$A5)^C$2/1000000</f>
        <v/>
      </c>
      <c r="D5" s="17">
        <f>rev_now*(1+$A5)*(1+$A5)^D$2/1000000</f>
        <v/>
      </c>
    </row>
    <row r="6">
      <c r="A6" s="5" t="n">
        <v>0.07000000000000001</v>
      </c>
      <c r="B6" s="17">
        <f>rev_now*(1+$A6)*(1+$A6)^B$2/1000000</f>
        <v/>
      </c>
      <c r="C6" s="17">
        <f>rev_now*(1+$A6)*(1+$A6)^C$2/1000000</f>
        <v/>
      </c>
      <c r="D6" s="17">
        <f>rev_now*(1+$A6)*(1+$A6)^D$2/1000000</f>
        <v/>
      </c>
    </row>
    <row r="7">
      <c r="A7" s="5" t="n">
        <v>0.1</v>
      </c>
      <c r="B7" s="17">
        <f>rev_now*(1+$A7)*(1+$A7)^B$2/1000000</f>
        <v/>
      </c>
      <c r="C7" s="17">
        <f>rev_now*(1+$A7)*(1+$A7)^C$2/1000000</f>
        <v/>
      </c>
      <c r="D7" s="17">
        <f>rev_now*(1+$A7)*(1+$A7)^D$2/1000000</f>
        <v/>
      </c>
    </row>
    <row r="9">
      <c r="A9" t="inlineStr">
        <is>
          <t>Elasticities: Litman (VTPI), Transit Price Elasticities and Cross-Elasticities (17 June 2025), Table 15: overall short-run -0.2 to -0.5. Generic values, not measured for Singapore.</t>
        </is>
      </c>
    </row>
    <row r="11">
      <c r="A11" s="1" t="inlineStr">
        <is>
          <t>Concession test: change in senior / PwD fares (Inputs)</t>
        </is>
      </c>
    </row>
    <row r="12">
      <c r="A12" t="inlineStr">
        <is>
          <t>Revenue with the concession change (S$/yr)</t>
        </is>
      </c>
      <c r="B12" s="12">
        <f>Revenue!J41*tfactor</f>
        <v/>
      </c>
    </row>
    <row r="13">
      <c r="A13" t="inlineStr">
        <is>
          <t>Change from current revenue (S$/yr)</t>
        </is>
      </c>
      <c r="B13" s="12">
        <f>B12-rev_now</f>
        <v/>
      </c>
    </row>
    <row r="15">
      <c r="A15" s="1" t="inlineStr">
        <is>
          <t>Revenue-neutral flat adult fare (trunk rides)</t>
        </is>
      </c>
    </row>
    <row r="16">
      <c r="A16" t="inlineStr">
        <is>
          <t>Flat fare (cents)</t>
        </is>
      </c>
      <c r="B16" s="13">
        <f>SUMPRODUCT(Rides!B2:B40,Revenue!I2:I40)/Rides!B41</f>
        <v/>
      </c>
    </row>
    <row r="17">
      <c r="A17" t="inlineStr">
        <is>
          <t>Share of trunk rides that would pay more than today</t>
        </is>
      </c>
      <c r="B17" s="6">
        <f>SUMPRODUCT(Rides!B2:B40,--(Revenue!I2:I40&lt;flat_fare))/Rides!B41</f>
        <v/>
      </c>
    </row>
    <row r="19">
      <c r="A19" s="1" t="inlineStr">
        <is>
          <t>Monthly fare spend of a regular adult commuter (S$)</t>
        </is>
      </c>
    </row>
    <row r="20">
      <c r="A20" s="3" t="inlineStr">
        <is>
          <t>Ride length</t>
        </is>
      </c>
      <c r="B20" s="3" t="inlineStr">
        <is>
          <t>Fare km</t>
        </is>
      </c>
      <c r="C20" s="3" t="inlineStr">
        <is>
          <t>Now</t>
        </is>
      </c>
      <c r="D20" s="3" t="inlineStr">
        <is>
          <t>Dec 2026</t>
        </is>
      </c>
      <c r="E20" s="3" t="inlineStr">
        <is>
          <t>Adult monthly pass</t>
        </is>
      </c>
      <c r="F20" s="3" t="inlineStr">
        <is>
          <t>Now, % of 20th pct household income</t>
        </is>
      </c>
      <c r="G20" s="3" t="inlineStr">
        <is>
          <t>Dec 2026, % of that income</t>
        </is>
      </c>
    </row>
    <row r="21">
      <c r="A21" t="inlineStr">
        <is>
          <t>Median ride</t>
        </is>
      </c>
      <c r="B21" s="11" t="n">
        <v>2.2</v>
      </c>
      <c r="C21" s="16">
        <f>INDEX(Fares!$C$2:$C$40,MIN(38,MAX(0,ROUNDUP(ROUND(B21-3.2,1)-0.000000001,0)))+1)*commuter_rides/100</f>
        <v/>
      </c>
      <c r="D21" s="16">
        <f>INDEX(Fares!$K$2:$K$40,MIN(38,MAX(0,ROUNDUP(ROUND(B21-3.2,1)-0.000000001,0)))+1)*commuter_rides/100</f>
        <v/>
      </c>
      <c r="E21" s="16">
        <f>adult_pass</f>
        <v/>
      </c>
      <c r="F21" s="15">
        <f>C21/income_p20</f>
        <v/>
      </c>
      <c r="G21" s="15">
        <f>D21/income_p20</f>
        <v/>
      </c>
    </row>
    <row r="22">
      <c r="A22" t="inlineStr">
        <is>
          <t>90th percentile ride</t>
        </is>
      </c>
      <c r="B22" s="11" t="n">
        <v>8.199999999999999</v>
      </c>
      <c r="C22" s="16">
        <f>INDEX(Fares!$C$2:$C$40,MIN(38,MAX(0,ROUNDUP(ROUND(B22-3.2,1)-0.000000001,0)))+1)*commuter_rides/100</f>
        <v/>
      </c>
      <c r="D22" s="16">
        <f>INDEX(Fares!$K$2:$K$40,MIN(38,MAX(0,ROUNDUP(ROUND(B22-3.2,1)-0.000000001,0)))+1)*commuter_rides/100</f>
        <v/>
      </c>
      <c r="E22" s="16">
        <f>adult_pass</f>
        <v/>
      </c>
      <c r="F22" s="15">
        <f>C22/income_p20</f>
        <v/>
      </c>
      <c r="G22" s="15">
        <f>D22/income_p20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50" customWidth="1" min="3" max="3"/>
    <col width="60" customWidth="1" min="4" max="4"/>
    <col width="70" customWidth="1" min="5" max="5"/>
    <col width="12" customWidth="1" min="6" max="6"/>
  </cols>
  <sheetData>
    <row r="1">
      <c r="A1" s="3" t="inlineStr">
        <is>
          <t>What</t>
        </is>
      </c>
      <c r="B1" s="3" t="inlineStr">
        <is>
          <t>Publisher</t>
        </is>
      </c>
      <c r="C1" s="3" t="inlineStr">
        <is>
          <t>Title</t>
        </is>
      </c>
      <c r="D1" s="3" t="inlineStr">
        <is>
          <t>URL</t>
        </is>
      </c>
      <c r="E1" s="3" t="inlineStr">
        <is>
          <t>Quoted text</t>
        </is>
      </c>
      <c r="F1" s="3" t="inlineStr">
        <is>
          <t>Accessed</t>
        </is>
      </c>
    </row>
    <row r="2">
      <c r="A2" t="inlineStr">
        <is>
          <t>Contract: Bulim (1st tendered term, contract PT200)</t>
        </is>
      </c>
      <c r="B2" t="inlineStr">
        <is>
          <t>Land Transport Authority (LTA)</t>
        </is>
      </c>
      <c r="C2" t="inlineStr">
        <is>
          <t>LTA Awards First Tendered Bus Package to Tower Transit Group Limited (Wayback Machine copy of LTA press room page)</t>
        </is>
      </c>
      <c r="D2" t="inlineStr">
        <is>
          <t>https://web.archive.org/web/20180614221232/https://www.lta.gov.sg/apps/news/page.aspx?c=2&amp;id=6bc7cedf-2390-4c4f-904c-de12115b1354</t>
        </is>
      </c>
      <c r="E2" t="inlineStr">
        <is>
          <t>Tower Transit will get an estimated total fee of $556.0 million[1] over the five-year contract period.</t>
        </is>
      </c>
      <c r="F2" t="inlineStr">
        <is>
          <t>2026-10-13</t>
        </is>
      </c>
    </row>
    <row r="3">
      <c r="A3" t="inlineStr">
        <is>
          <t>Contract: Bulim (1st tendered term, contract PT200)</t>
        </is>
      </c>
      <c r="B3" t="inlineStr">
        <is>
          <t>Land Transport Authority (LTA)</t>
        </is>
      </c>
      <c r="C3" t="inlineStr">
        <is>
          <t>First Public Bus Service Package under New Government Contracting Model (LTA news release, 28 May 2014, filed on SGX)</t>
        </is>
      </c>
      <c r="D3" t="inlineStr">
        <is>
          <t>https://links.sgx.com/1.0.0/corporate-announcements/9RIHLYHBQNZKTKLH/299206_LTA%20NEWS%20RELEASE%20ON%20FIRST%20PUBLIC%20BUS%20SERVICE%20PACKAGE%20UNDER%20NEW%20GOVERNMENT%20CONTRACTING%20MODEL.pdf</t>
        </is>
      </c>
      <c r="E3" t="inlineStr">
        <is>
          <t>with about 380 buses in 2016, before growing to</t>
        </is>
      </c>
      <c r="F3" t="inlineStr">
        <is>
          <t>2026-10-13</t>
        </is>
      </c>
    </row>
    <row r="4">
      <c r="A4" t="inlineStr">
        <is>
          <t>Contract: Loyang (1st tendered term, contract PT201)</t>
        </is>
      </c>
      <c r="B4" t="inlineStr">
        <is>
          <t>Land Transport Guru (enthusiast site)</t>
        </is>
      </c>
      <c r="C4" t="inlineStr">
        <is>
          <t>Loyang Bus Package (Land Transport Guru)</t>
        </is>
      </c>
      <c r="D4" t="inlineStr">
        <is>
          <t>https://landtransportguru.net/bus/bus-contracting-model/loyang-bus-package/</t>
        </is>
      </c>
      <c r="E4" t="inlineStr">
        <is>
          <t>who would receive an estimated total fee of $497.7 million over five years</t>
        </is>
      </c>
      <c r="F4" t="inlineStr">
        <is>
          <t>2026-10-13</t>
        </is>
      </c>
    </row>
    <row r="5">
      <c r="A5" t="inlineStr">
        <is>
          <t>Contract: Loyang (1st tendered term, contract PT201)</t>
        </is>
      </c>
      <c r="B5" t="inlineStr">
        <is>
          <t>Ministry of Transport (MOT)</t>
        </is>
      </c>
      <c r="C5" t="inlineStr">
        <is>
          <t>Extension of Loyang Bus Package Contract Versus Retendering (written reply, 6 Oct 2026)</t>
        </is>
      </c>
      <c r="D5" t="inlineStr">
        <is>
          <t>https://www.mot.gov.sg/news-resources/newsroom/extension-of-loyang-bus-package-contract-versus-retendering/</t>
        </is>
      </c>
      <c r="E5" t="inlineStr">
        <is>
          <t>To avoid unnecessary relocation costs, LTA negotiated a further extension to 2030.</t>
        </is>
      </c>
      <c r="F5" t="inlineStr">
        <is>
          <t>2026-10-13</t>
        </is>
      </c>
    </row>
    <row r="6">
      <c r="A6" t="inlineStr">
        <is>
          <t>Contract: Seletar (1st tendered term, contract PT202)</t>
        </is>
      </c>
      <c r="B6" t="inlineStr">
        <is>
          <t>Land Transport Authority (LTA)</t>
        </is>
      </c>
      <c r="C6" t="inlineStr">
        <is>
          <t>LTA Awards Third Bus Package to SBS Transit Ltd (LTA news release 19 Apr 2017, filed on SGX)</t>
        </is>
      </c>
      <c r="D6" t="inlineStr">
        <is>
          <t>https://links.sgx.com/1.0.0/corporate-announcements/ER1XAF14P1X8UTWH/449020_News%20Release%20-%20LTA%20awards%20third%20bus%20package%20to%20SBS%20Transit.pdf</t>
        </is>
      </c>
      <c r="E6" t="inlineStr">
        <is>
          <t>Seletar bus package, to SBS Transit Ltd (SBST), at an estimated total fee of $480,332,4721 over</t>
        </is>
      </c>
      <c r="F6" t="inlineStr">
        <is>
          <t>2026-10-13</t>
        </is>
      </c>
    </row>
    <row r="7">
      <c r="A7" t="inlineStr">
        <is>
          <t>Contract: Bukit Merah (1st tendered term, contract PT203)</t>
        </is>
      </c>
      <c r="B7" t="inlineStr">
        <is>
          <t>Land Transport Authority (LTA)</t>
        </is>
      </c>
      <c r="C7" t="inlineStr">
        <is>
          <t>LTA Awards Bukit Merah Bus Package to SBS Transit Ltd (LTA news release 23 Feb 2018, filed on SGX)</t>
        </is>
      </c>
      <c r="D7" t="inlineStr">
        <is>
          <t>https://links.sgx.com/1.0.0/corporate-announcements/VNM1O01MGDYLSB0N/489982_News%20%20Release-LTA%20Award%20of%20Bukit%20Merah%20Package.pdf</t>
        </is>
      </c>
      <c r="E7" t="inlineStr">
        <is>
          <t>at an estimated total fee of $472 million1 over the five-year contract period</t>
        </is>
      </c>
      <c r="F7" t="inlineStr">
        <is>
          <t>2026-10-13</t>
        </is>
      </c>
    </row>
    <row r="8">
      <c r="A8" t="inlineStr">
        <is>
          <t>Contract: Bulim (2nd term, PT217A) + Sembawang-Yishun (PT217B), combined award</t>
        </is>
      </c>
      <c r="B8" t="inlineStr">
        <is>
          <t>Land Transport Authority (LTA)</t>
        </is>
      </c>
      <c r="C8" t="inlineStr">
        <is>
          <t>LTA Awards Bulim and Sembawang-Yishun Bus Packages to Tower Transit</t>
        </is>
      </c>
      <c r="D8" t="inlineStr">
        <is>
          <t>https://lta.gov.sg/content/ltagov/en/newsroom/2020/9/news-releases/lta-awards-bulim-and-sembawang-yishun-bus-packages-to-tower-tran.html</t>
        </is>
      </c>
      <c r="E8" t="inlineStr">
        <is>
          <t>The contracts are estimated to be at a total fee of $1.03 billion[1] over the five-year contract period</t>
        </is>
      </c>
      <c r="F8" t="inlineStr">
        <is>
          <t>2026-10-13</t>
        </is>
      </c>
    </row>
    <row r="9">
      <c r="A9" t="inlineStr">
        <is>
          <t>Contract: Bulim (2nd term, PT217A) + Sembawang-Yishun (PT217B), combined award</t>
        </is>
      </c>
      <c r="B9" t="inlineStr">
        <is>
          <t>Land Transport Authority (LTA)</t>
        </is>
      </c>
      <c r="C9" t="inlineStr">
        <is>
          <t>Annex A: Bid Prices for Bulim and Sembawang-Yishun Bus Packages</t>
        </is>
      </c>
      <c r="D9" t="inlineStr">
        <is>
          <t>https://www.lta.gov.sg/content/dam/ltagov/news/press/2020/20200930_annex_a_buspackage_bid_prices.pdf</t>
        </is>
      </c>
      <c r="E9" t="inlineStr">
        <is>
          <t>3 Tower Transit Singapore Pte Ltd $1,025,102,939</t>
        </is>
      </c>
      <c r="F9" t="inlineStr">
        <is>
          <t>2026-10-13</t>
        </is>
      </c>
    </row>
    <row r="10">
      <c r="A10" t="inlineStr">
        <is>
          <t>Contract: Bulim (2nd term, PT217A) + Sembawang-Yishun (PT217B), combined award</t>
        </is>
      </c>
      <c r="B10" t="inlineStr">
        <is>
          <t>Land Transport Authority (LTA)</t>
        </is>
      </c>
      <c r="C10" t="inlineStr">
        <is>
          <t>Annex B: Details of Bulim and Sembawang-Yishun Bus Package (map image)</t>
        </is>
      </c>
      <c r="D10" t="inlineStr">
        <is>
          <t>https://www.lta.gov.sg/content/dam/ltagov/news/press/2020/20200930_annex_b_buspackage_details.pdf</t>
        </is>
      </c>
      <c r="E10" t="inlineStr">
        <is>
          <t>~320 buses with 29 bus routes ... ~400 buses with 27 bus routes</t>
        </is>
      </c>
      <c r="F10" t="inlineStr">
        <is>
          <t>2026-10-13</t>
        </is>
      </c>
    </row>
    <row r="11">
      <c r="A11" t="inlineStr">
        <is>
          <t>Contract: Bukit Merah (2nd term, PT218A) + Jurong West (PT218B)</t>
        </is>
      </c>
      <c r="B11" t="inlineStr">
        <is>
          <t>Land Transport Authority (LTA)</t>
        </is>
      </c>
      <c r="C11" t="inlineStr">
        <is>
          <t>LTA Awards Bukit Merah and Jurong West Bus Packages to SBS Transit and SMRT Buses</t>
        </is>
      </c>
      <c r="D11" t="inlineStr">
        <is>
          <t>https://www.lta.gov.sg/content/ltagov/en/newsroom/2023/8/news-releases/lta_awards_bt_merah_and_jurong_west_bus_packages.html</t>
        </is>
      </c>
      <c r="E11" t="inlineStr">
        <is>
          <t>These contracts, estimated at a total fee of $890 million[1] over the five-year contract period, will commence progressively from the second quarter of 2024.</t>
        </is>
      </c>
      <c r="F11" t="inlineStr">
        <is>
          <t>2026-10-13</t>
        </is>
      </c>
    </row>
    <row r="12">
      <c r="A12" t="inlineStr">
        <is>
          <t>Contract: Bukit Merah (2nd term, PT218A) + Jurong West (PT218B)</t>
        </is>
      </c>
      <c r="B12" t="inlineStr">
        <is>
          <t>Land Transport Authority (LTA)</t>
        </is>
      </c>
      <c r="C12" t="inlineStr">
        <is>
          <t>Annex A: Bid Prices for Bukit Merah and Jurong West Bus Packages</t>
        </is>
      </c>
      <c r="D12" t="inlineStr">
        <is>
          <t>https://www.lta.gov.sg/content/dam/ltagov/news/press/2023/230818_Bus_packages_BtMerah_and_JurongWest_Bid_prices_AnnexA.pdf</t>
        </is>
      </c>
      <c r="E12" t="inlineStr">
        <is>
          <t>SMRT Buses Ltd* $411,533,323.80</t>
        </is>
      </c>
      <c r="F12" t="inlineStr">
        <is>
          <t>2026-10-13</t>
        </is>
      </c>
    </row>
    <row r="13">
      <c r="A13" t="inlineStr">
        <is>
          <t>Contract: Seletar (2nd tendered term, PT219)</t>
        </is>
      </c>
      <c r="B13" t="inlineStr">
        <is>
          <t>Land Transport Authority (LTA)</t>
        </is>
      </c>
      <c r="C13" t="inlineStr">
        <is>
          <t>SBS Transit Ltd to Continue Operating Seletar Bus Package</t>
        </is>
      </c>
      <c r="D13" t="inlineStr">
        <is>
          <t>https://www.lta.gov.sg/content/ltagov/en/newsroom/2024/7/news-releases/SBS_Transit_Ltd_to_continue_operating_seletar_bus_package.html</t>
        </is>
      </c>
      <c r="E13" t="inlineStr">
        <is>
          <t>The contract, estimated at a total fee of $526 million[1] over the five-year contract period, will commence from the first quarter of 2025.</t>
        </is>
      </c>
      <c r="F13" t="inlineStr">
        <is>
          <t>2026-10-13</t>
        </is>
      </c>
    </row>
    <row r="14">
      <c r="A14" t="inlineStr">
        <is>
          <t>Contract: Seletar (2nd tendered term, PT219)</t>
        </is>
      </c>
      <c r="B14" t="inlineStr">
        <is>
          <t>Land Transport Authority (LTA)</t>
        </is>
      </c>
      <c r="C14" t="inlineStr">
        <is>
          <t>Annex A: Bid Prices for Seletar Bus Package</t>
        </is>
      </c>
      <c r="D14" t="inlineStr">
        <is>
          <t>https://www.lta.gov.sg/content/dam/ltagov/news/press/2024/240719_Seletar_bus_package_bid_prices_AnnexA.pdf</t>
        </is>
      </c>
      <c r="E14" t="inlineStr">
        <is>
          <t>SBS Transit Ltd (Alternative)* $526,249,521.73</t>
        </is>
      </c>
      <c r="F14" t="inlineStr">
        <is>
          <t>2026-10-13</t>
        </is>
      </c>
    </row>
    <row r="15">
      <c r="A15" t="inlineStr">
        <is>
          <t>Contract: Tampines (1st tendered term, PT220)</t>
        </is>
      </c>
      <c r="B15" t="inlineStr">
        <is>
          <t>Land Transport Authority (LTA)</t>
        </is>
      </c>
      <c r="C15" t="inlineStr">
        <is>
          <t>LTA Awards Tampines Bus Package to Go-Ahead Singapore</t>
        </is>
      </c>
      <c r="D15" t="inlineStr">
        <is>
          <t>https://www.lta.gov.sg/content/ltagov/en/newsroom/2025/9/news-releases/lta-awards-tampines-bus-package-to-go-ahead-singapore.html</t>
        </is>
      </c>
      <c r="E15" t="inlineStr">
        <is>
          <t>The contract, estimated at a total fee of $646 million[1] over the five-year contract period, will commence from 5 July 2026.</t>
        </is>
      </c>
      <c r="F15" t="inlineStr">
        <is>
          <t>2026-10-13</t>
        </is>
      </c>
    </row>
    <row r="16">
      <c r="A16" t="inlineStr">
        <is>
          <t>Contract: Tampines (1st tendered term, PT220)</t>
        </is>
      </c>
      <c r="B16" t="inlineStr">
        <is>
          <t>Land Transport Authority (LTA)</t>
        </is>
      </c>
      <c r="C16" t="inlineStr">
        <is>
          <t>Annex A - Bidders of Tampines Bus Package</t>
        </is>
      </c>
      <c r="D16" t="inlineStr">
        <is>
          <t>https://www.lta.gov.sg/content/dam/ltagov/news/press/2025/250919-tampines-bus-package.pdf</t>
        </is>
      </c>
      <c r="E16" t="inlineStr">
        <is>
          <t>The Go-Ahead Group Limited (Alternative)* $646,244,809.73</t>
        </is>
      </c>
      <c r="F16" t="inlineStr">
        <is>
          <t>2026-10-13</t>
        </is>
      </c>
    </row>
    <row r="17">
      <c r="A17" t="inlineStr">
        <is>
          <t>Contract: Serangoon-Eunos (1st tendered term, BC802)</t>
        </is>
      </c>
      <c r="B17" t="inlineStr">
        <is>
          <t>Land Transport Authority (LTA)</t>
        </is>
      </c>
      <c r="C17" t="inlineStr">
        <is>
          <t>LTA Awards Serangoon-Eunos Bus Package to SMRT Buses</t>
        </is>
      </c>
      <c r="D17" t="inlineStr">
        <is>
          <t>https://www.lta.gov.sg/content/ltagov/en/newsroom/2026/7/news-releases/lta-awards-serangoon-eunos-bus-package-to-smrt-buses.html</t>
        </is>
      </c>
      <c r="E17" t="inlineStr">
        <is>
          <t>The contract, estimated at a total fee of $599.5 million[[1]] over a five-year contract period, will commence from 13 June 2027.</t>
        </is>
      </c>
      <c r="F17" t="inlineStr">
        <is>
          <t>2026-10-13</t>
        </is>
      </c>
    </row>
    <row r="18">
      <c r="A18" t="inlineStr">
        <is>
          <t>Contract: Serangoon-Eunos (1st tendered term, BC802)</t>
        </is>
      </c>
      <c r="B18" t="inlineStr">
        <is>
          <t>Land Transport Authority (LTA)</t>
        </is>
      </c>
      <c r="C18" t="inlineStr">
        <is>
          <t>Annex A - Bidders of Serangoon-Eunos Bus Package</t>
        </is>
      </c>
      <c r="D18" t="inlineStr">
        <is>
          <t>https://www.lta.gov.sg/content/dam/ltagov/news/press/2026/260716-bidders-serangoon-eunos-bus-package-AnnexA.pdf</t>
        </is>
      </c>
      <c r="E18" t="inlineStr">
        <is>
          <t>SMRT Buses Ltd* $599,528,428.00</t>
        </is>
      </c>
      <c r="F18" t="inlineStr">
        <is>
          <t>2026-10-13</t>
        </is>
      </c>
    </row>
    <row r="19">
      <c r="A19" t="inlineStr">
        <is>
          <t>Contract: Negotiated Contract - SBS Transit (8 packages)</t>
        </is>
      </c>
      <c r="B19" t="inlineStr">
        <is>
          <t>SBS Transit Ltd (operator)</t>
        </is>
      </c>
      <c r="C19" t="inlineStr">
        <is>
          <t>Negotiated Contract between LTA and SBS Transit Ltd under the BCM (SGX announcement 11 Aug 2016)</t>
        </is>
      </c>
      <c r="D19" t="inlineStr">
        <is>
          <t>https://links.sgx.com/1.0.0/corporate-announcements/38V7MFIW9B0Q1N6Z/416784_SBS_Ann_%20Negotiated%20Contract.pdf</t>
        </is>
      </c>
      <c r="E19" t="inlineStr">
        <is>
          <t>The estimated total fee over the contract period averaging around 7 years is $5.32 billion</t>
        </is>
      </c>
      <c r="F19" t="inlineStr">
        <is>
          <t>2026-10-13</t>
        </is>
      </c>
    </row>
    <row r="20">
      <c r="A20" t="inlineStr">
        <is>
          <t>Contract: Negotiated Contract - SBS Transit (8 packages)</t>
        </is>
      </c>
      <c r="B20" t="inlineStr">
        <is>
          <t>The Independent Singapore (reproducing LTA release)</t>
        </is>
      </c>
      <c r="C20" t="inlineStr">
        <is>
          <t>LTA press release reproduced in The Independent Singapore (11 Aug 2016)</t>
        </is>
      </c>
      <c r="D20" t="inlineStr">
        <is>
          <t>https://theindependent.sg/sbs-gets-5-3b-from-govt-and-smrt-1-9b-to-run-bus-routes</t>
        </is>
      </c>
      <c r="E20" t="inlineStr">
        <is>
          <t>The estimated total contract fees are $5,322 million for SBS Transit and $1,865 million for SMRT Buses.[1]</t>
        </is>
      </c>
      <c r="F20" t="inlineStr">
        <is>
          <t>2026-10-13</t>
        </is>
      </c>
    </row>
    <row r="21">
      <c r="A21" t="inlineStr">
        <is>
          <t>Contract: Negotiated Contract - SMRT Buses (3 packages: Sembawang-Yishun, Choa Chu Kang-Bukit Panjang, Woodlands)</t>
        </is>
      </c>
      <c r="B21" t="inlineStr">
        <is>
          <t>The Independent Singapore (reproducing LTA release)</t>
        </is>
      </c>
      <c r="C21" t="inlineStr">
        <is>
          <t>LTA press release reproduced in The Independent Singapore (11 Aug 2016)</t>
        </is>
      </c>
      <c r="D21" t="inlineStr">
        <is>
          <t>https://theindependent.sg/sbs-gets-5-3b-from-govt-and-smrt-1-9b-to-run-bus-routes</t>
        </is>
      </c>
      <c r="E21" t="inlineStr">
        <is>
          <t>SBS Transit will operate eight packages with 196 services while SMRT Buses will operate three packages with 77 services.</t>
        </is>
      </c>
      <c r="F21" t="inlineStr">
        <is>
          <t>2026-10-13</t>
        </is>
      </c>
    </row>
    <row r="22">
      <c r="A22" t="inlineStr">
        <is>
          <t>Contract: Negotiated Contract - SMRT Buses (3 packages: Sembawang-Yishun, Choa Chu Kang-Bukit Panjang, Woodlands)</t>
        </is>
      </c>
      <c r="B22" t="inlineStr">
        <is>
          <t>Land Transport Guru (enthusiast site)</t>
        </is>
      </c>
      <c r="C22" t="inlineStr">
        <is>
          <t>Bus industry completes transition to Bus Contracting Model (Land Transport Guru)</t>
        </is>
      </c>
      <c r="D22" t="inlineStr">
        <is>
          <t>https://landtransportguru.net/bus-industry-completes-transition-to-bus-contracting-model/</t>
        </is>
      </c>
      <c r="E22" t="inlineStr">
        <is>
          <t>SMRT Buses will operate 3 packages consisting of 77 bus routes from 01 Sep 2016 for a sum of $1,865 million dollars.</t>
        </is>
      </c>
      <c r="F22" t="inlineStr">
        <is>
          <t>2026-10-13</t>
        </is>
      </c>
    </row>
    <row r="23">
      <c r="A23" t="inlineStr">
        <is>
          <t>Contract: Five SBS Transit negotiated bus contracts re-priced and extended (with DTL move to NRFF v2)</t>
        </is>
      </c>
      <c r="B23" t="inlineStr">
        <is>
          <t>Land Transport Authority (LTA)</t>
        </is>
      </c>
      <c r="C23" t="inlineStr">
        <is>
          <t>Transition of Downtown Line to New Rail Financing Framework version two</t>
        </is>
      </c>
      <c r="D23" t="inlineStr">
        <is>
          <t>https://www.lta.gov.sg/content/ltagov/en/newsroom/2021/11/news-releases/Transition_of_DTL_to_NRFFv2.html</t>
        </is>
      </c>
      <c r="E23" t="inlineStr">
        <is>
          <t>The contracts will be extended (by an average of three years) at these revised rates.</t>
        </is>
      </c>
      <c r="F23" t="inlineStr">
        <is>
          <t>2026-10-13</t>
        </is>
      </c>
    </row>
    <row r="24">
      <c r="A24" t="inlineStr">
        <is>
          <t>Contract: Contract extensions (general rule, Loyang to 2030)</t>
        </is>
      </c>
      <c r="B24" t="inlineStr">
        <is>
          <t>Ministry of Transport (MOT)</t>
        </is>
      </c>
      <c r="C24" t="inlineStr">
        <is>
          <t>Extension of Loyang Bus Package Contract Versus Retendering</t>
        </is>
      </c>
      <c r="D24" t="inlineStr">
        <is>
          <t>https://www.mot.gov.sg/news-resources/newsroom/extension-of-loyang-bus-package-contract-versus-retendering/</t>
        </is>
      </c>
      <c r="E24" t="inlineStr">
        <is>
          <t>We are unable to disclose the extension fees as they are commercially sensitive.</t>
        </is>
      </c>
      <c r="F24" t="inlineStr">
        <is>
          <t>2026-10-13</t>
        </is>
      </c>
    </row>
    <row r="25">
      <c r="A25" t="inlineStr">
        <is>
          <t>Fare tables</t>
        </is>
      </c>
      <c r="B25" t="inlineStr">
        <is>
          <t>Public Transport Council (PTC)</t>
        </is>
      </c>
      <c r="C25" t="inlineStr">
        <is>
          <t>PTC FRE 2024 Annex (fares w.e.f. 28 December 2024)</t>
        </is>
      </c>
      <c r="D25" t="inlineStr">
        <is>
          <t>https://isomer-user-content.by.gov.sg/284/3a0a4949-3123-48bf-a5b9-4078c757e3d4/ptc-2024-fre-press-release-annex.pdf</t>
        </is>
      </c>
      <c r="E25" t="inlineStr">
        <is>
          <t>Up to 3.2 km 109 119 190</t>
        </is>
      </c>
      <c r="F25" t="inlineStr">
        <is>
          <t>2026-10-13</t>
        </is>
      </c>
    </row>
    <row r="26">
      <c r="A26" t="inlineStr">
        <is>
          <t>Fare tables</t>
        </is>
      </c>
      <c r="B26" t="inlineStr">
        <is>
          <t>Public Transport Council (PTC)</t>
        </is>
      </c>
      <c r="C26" t="inlineStr">
        <is>
          <t>PTC FRE 2025 Annex A &amp; B (fares w.e.f. 27 December 2025)</t>
        </is>
      </c>
      <c r="D26" t="inlineStr">
        <is>
          <t>https://isomer-user-content.by.gov.sg/284/390149f1-e741-4d5b-aef3-6dcb2fa80d1b/ptc-fre-annex-a-b.pdf</t>
        </is>
      </c>
      <c r="E26" t="inlineStr">
        <is>
          <t>Up to 3.2 km 119 128 190 210</t>
        </is>
      </c>
      <c r="F26" t="inlineStr">
        <is>
          <t>2026-10-13</t>
        </is>
      </c>
    </row>
    <row r="27">
      <c r="A27" t="inlineStr">
        <is>
          <t>Fare tables</t>
        </is>
      </c>
      <c r="B27" t="inlineStr">
        <is>
          <t>Public Transport Council (PTC)</t>
        </is>
      </c>
      <c r="C27" t="inlineStr">
        <is>
          <t>PTC FRE 2026 Annex A &amp; B (fares w.e.f. 26 December 2026)</t>
        </is>
      </c>
      <c r="D27" t="inlineStr">
        <is>
          <t>https://isomer-user-content.by.gov.sg/284/d0552669-6654-49c8-b06a-5fbd8b3c0c8a/Download%20PTC%20FRE%20Annex%20A%20%26%20B%20%5BPDF%2C%20395%20KB%5D.pdf</t>
        </is>
      </c>
      <c r="E27" t="inlineStr">
        <is>
          <t>Up to 3.2 km 128 140 210 230</t>
        </is>
      </c>
      <c r="F27" t="inlineStr">
        <is>
          <t>2026-10-13</t>
        </is>
      </c>
    </row>
    <row r="28">
      <c r="A28" t="inlineStr">
        <is>
          <t>Fare tables</t>
        </is>
      </c>
      <c r="B28" t="inlineStr">
        <is>
          <t>Public Transport Council (PTC)</t>
        </is>
      </c>
      <c r="C28" t="inlineStr">
        <is>
          <t>Public transport fares &amp; passes (PTC web page, current fares)</t>
        </is>
      </c>
      <c r="D28" t="inlineStr">
        <is>
          <t>https://www.ptc.gov.sg/fares/public-transport-fares-and-passes/</t>
        </is>
      </c>
      <c r="E28" t="inlineStr">
        <is>
          <t>Up to 3.2 km | 1.28 | 2.10</t>
        </is>
      </c>
      <c r="F28" t="inlineStr">
        <is>
          <t>2026-10-13</t>
        </is>
      </c>
    </row>
    <row r="29">
      <c r="A29" t="inlineStr">
        <is>
          <t>Monthly passes</t>
        </is>
      </c>
      <c r="B29" t="inlineStr">
        <is>
          <t>Public Transport Council (PTC)</t>
        </is>
      </c>
      <c r="C29" t="inlineStr">
        <is>
          <t>PTC FRE 2025 Annex B - Monthly passes</t>
        </is>
      </c>
      <c r="D29" t="inlineStr">
        <is>
          <t>https://isomer-user-content.by.gov.sg/284/390149f1-e741-4d5b-aef3-6dcb2fa80d1b/ptc-fre-annex-a-b.pdf</t>
        </is>
      </c>
      <c r="E29" t="inlineStr">
        <is>
          <t>Adult (Monthly Travel Pass) $128.00 $122.00**</t>
        </is>
      </c>
      <c r="F29" t="inlineStr">
        <is>
          <t>2026-10-13</t>
        </is>
      </c>
    </row>
    <row r="30">
      <c r="A30" t="inlineStr">
        <is>
          <t>Monthly passes</t>
        </is>
      </c>
      <c r="B30" t="inlineStr">
        <is>
          <t>Public Transport Council (PTC)</t>
        </is>
      </c>
      <c r="C30" t="inlineStr">
        <is>
          <t>PTC FRE 2026 Annex B - Monthly passes (unchanged)</t>
        </is>
      </c>
      <c r="D30" t="inlineStr">
        <is>
          <t>https://isomer-user-content.by.gov.sg/284/d0552669-6654-49c8-b06a-5fbd8b3c0c8a/Download%20PTC%20FRE%20Annex%20A%20%26%20B%20%5BPDF%2C%20395%20KB%5D.pdf</t>
        </is>
      </c>
      <c r="E30" t="inlineStr">
        <is>
          <t>Adult (Monthly Travel Pass) $122.00</t>
        </is>
      </c>
      <c r="F30" t="inlineStr">
        <is>
          <t>2026-10-13</t>
        </is>
      </c>
    </row>
    <row r="31">
      <c r="A31" t="inlineStr">
        <is>
          <t>Monthly passes</t>
        </is>
      </c>
      <c r="B31" t="inlineStr">
        <is>
          <t>Public Transport Council (PTC)</t>
        </is>
      </c>
      <c r="C31" t="inlineStr">
        <is>
          <t>PTC FRE 2024 Annex - Monthly passes (unchanged)</t>
        </is>
      </c>
      <c r="D31" t="inlineStr">
        <is>
          <t>https://isomer-user-content.by.gov.sg/284/3a0a4949-3123-48bf-a5b9-4078c757e3d4/ptc-2024-fre-press-release-annex.pdf</t>
        </is>
      </c>
      <c r="E31" t="inlineStr">
        <is>
          <t>Adult (Monthly Travel Pass) $128.00</t>
        </is>
      </c>
      <c r="F31" t="inlineStr">
        <is>
          <t>2026-10-13</t>
        </is>
      </c>
    </row>
    <row r="32">
      <c r="A32" t="inlineStr">
        <is>
          <t>Fare review 2024</t>
        </is>
      </c>
      <c r="B32" t="inlineStr">
        <is>
          <t>Public Transport Council (PTC)</t>
        </is>
      </c>
      <c r="C32" t="inlineStr">
        <is>
          <t>Fare Review Exercise 2024</t>
        </is>
      </c>
      <c r="D32" t="inlineStr">
        <is>
          <t>https://www.ptc.gov.sg/media-centre/newsroom/fare-review-exercise-2024/</t>
        </is>
      </c>
      <c r="E32" t="inlineStr">
        <is>
          <t>the PTC has decided to grant an overall fare increase of 6.0% for this year, which is less than a third of the 18.9% maximum allowable quantum</t>
        </is>
      </c>
      <c r="F32" t="inlineStr">
        <is>
          <t>2026-10-13</t>
        </is>
      </c>
    </row>
    <row r="33">
      <c r="A33" t="inlineStr">
        <is>
          <t>Fare review 2024</t>
        </is>
      </c>
      <c r="B33" t="inlineStr">
        <is>
          <t>Public Transport Council (PTC)</t>
        </is>
      </c>
      <c r="C33" t="inlineStr">
        <is>
          <t>PTC FRE 2024 Annex</t>
        </is>
      </c>
      <c r="D33" t="inlineStr">
        <is>
          <t>https://isomer-user-content.by.gov.sg/284/3a0a4949-3123-48bf-a5b9-4078c757e3d4/ptc-2024-fre-press-release-annex.pdf</t>
        </is>
      </c>
      <c r="E33" t="inlineStr">
        <is>
          <t>The overall fare adjustment of 6.0% translates to an increase in fare revenue of about $132 million a year.</t>
        </is>
      </c>
      <c r="F33" t="inlineStr">
        <is>
          <t>2026-10-13</t>
        </is>
      </c>
    </row>
    <row r="34">
      <c r="A34" t="inlineStr">
        <is>
          <t>Fare review 2025</t>
        </is>
      </c>
      <c r="B34" t="inlineStr">
        <is>
          <t>Public Transport Council (PTC)</t>
        </is>
      </c>
      <c r="C34" t="inlineStr">
        <is>
          <t>Fare Review Exercise 2025</t>
        </is>
      </c>
      <c r="D34" t="inlineStr">
        <is>
          <t>https://www.ptc.gov.sg/media-centre/newsroom/fare-review-exercise-2025/</t>
        </is>
      </c>
      <c r="E34" t="inlineStr">
        <is>
          <t>PTC has decided to grant an overall fare increase of 5.0% for this year, below the maximum allowable fare adjustment quantum of 14.4%</t>
        </is>
      </c>
      <c r="F34" t="inlineStr">
        <is>
          <t>2026-10-13</t>
        </is>
      </c>
    </row>
    <row r="35">
      <c r="A35" t="inlineStr">
        <is>
          <t>Fare review 2025</t>
        </is>
      </c>
      <c r="B35" t="inlineStr">
        <is>
          <t>Public Transport Council (PTC)</t>
        </is>
      </c>
      <c r="C35" t="inlineStr">
        <is>
          <t>PTC FRE 2025 Annex A factsheet</t>
        </is>
      </c>
      <c r="D35" t="inlineStr">
        <is>
          <t>https://isomer-user-content.by.gov.sg/284/390149f1-e741-4d5b-aef3-6dcb2fa80d1b/ptc-fre-annex-a-b.pdf</t>
        </is>
      </c>
      <c r="E35" t="inlineStr">
        <is>
          <t>Fare revenues for bus and Thomson-East Coast Line (TEL) collected by LTA will increase by $62.3 million</t>
        </is>
      </c>
      <c r="F35" t="inlineStr">
        <is>
          <t>2026-10-13</t>
        </is>
      </c>
    </row>
    <row r="36">
      <c r="A36" t="inlineStr">
        <is>
          <t>Fare review 2025</t>
        </is>
      </c>
      <c r="B36" t="inlineStr">
        <is>
          <t>Public Transport Council (PTC)</t>
        </is>
      </c>
      <c r="C36" t="inlineStr">
        <is>
          <t>PTC FRE 2025 Annex A factsheet</t>
        </is>
      </c>
      <c r="D36" t="inlineStr">
        <is>
          <t>https://isomer-user-content.by.gov.sg/284/390149f1-e741-4d5b-aef3-6dcb2fa80d1b/ptc-fre-annex-a-b.pdf</t>
        </is>
      </c>
      <c r="E36" t="inlineStr">
        <is>
          <t>The overall fare adjustment of 5.0% translates to an increase in fare revenue of about $115.5 million a year.</t>
        </is>
      </c>
      <c r="F36" t="inlineStr">
        <is>
          <t>2026-10-13</t>
        </is>
      </c>
    </row>
    <row r="37">
      <c r="A37" t="inlineStr">
        <is>
          <t>Fare review 2026</t>
        </is>
      </c>
      <c r="B37" t="inlineStr">
        <is>
          <t>Public Transport Council (PTC)</t>
        </is>
      </c>
      <c r="C37" t="inlineStr">
        <is>
          <t>Outcome of Fare Review Exercise (FRE) 2026</t>
        </is>
      </c>
      <c r="D37" t="inlineStr">
        <is>
          <t>https://www.ptc.gov.sg/media-centre/newsroom/fare-review-exercise-2026/</t>
        </is>
      </c>
      <c r="E37" t="inlineStr">
        <is>
          <t>PTC has decided to grant an overall fare increase of 7.0% for this year's FRE.</t>
        </is>
      </c>
      <c r="F37" t="inlineStr">
        <is>
          <t>2026-10-13</t>
        </is>
      </c>
    </row>
    <row r="38">
      <c r="A38" t="inlineStr">
        <is>
          <t>Fare review 2026</t>
        </is>
      </c>
      <c r="B38" t="inlineStr">
        <is>
          <t>Public Transport Council (PTC)</t>
        </is>
      </c>
      <c r="C38" t="inlineStr">
        <is>
          <t>PTC FRE 2026 Annex A factsheet</t>
        </is>
      </c>
      <c r="D38" t="inlineStr">
        <is>
          <t>https://isomer-user-content.by.gov.sg/284/d0552669-6654-49c8-b06a-5fbd8b3c0c8a/Download%20PTC%20FRE%20Annex%20A%20%26%20B%20%5BPDF%2C%20395%20KB%5D.pdf</t>
        </is>
      </c>
      <c r="E38" t="inlineStr">
        <is>
          <t>The overall fare adjustment of 7.0% translates to an increase in fare revenue of about $176.9 million a year.</t>
        </is>
      </c>
      <c r="F38" t="inlineStr">
        <is>
          <t>2026-10-13</t>
        </is>
      </c>
    </row>
    <row r="39">
      <c r="A39" t="inlineStr">
        <is>
          <t>Fare review 2026</t>
        </is>
      </c>
      <c r="B39" t="inlineStr">
        <is>
          <t>Public Transport Council (PTC)</t>
        </is>
      </c>
      <c r="C39" t="inlineStr">
        <is>
          <t>PTC FRE 2026 Annex A factsheet</t>
        </is>
      </c>
      <c r="D39" t="inlineStr">
        <is>
          <t>https://isomer-user-content.by.gov.sg/284/d0552669-6654-49c8-b06a-5fbd8b3c0c8a/Download%20PTC%20FRE%20Annex%20A%20%26%20B%20%5BPDF%2C%20395%20KB%5D.pdf</t>
        </is>
      </c>
      <c r="E39" t="inlineStr">
        <is>
          <t>Fare revenues for bus and Thomson-East Coast Line (TEL) collected by LTA will increase by $97.1 million</t>
        </is>
      </c>
      <c r="F39" t="inlineStr">
        <is>
          <t>2026-10-13</t>
        </is>
      </c>
    </row>
    <row r="40">
      <c r="A40" t="inlineStr">
        <is>
          <t>LTA Bus Contracting restricted fund (note 27(b)(i))</t>
        </is>
      </c>
      <c r="B40" t="inlineStr">
        <is>
          <t>Land Transport Authority (LTA)</t>
        </is>
      </c>
      <c r="C40" t="inlineStr">
        <is>
          <t>LTA audited financial statements FYE 31 Mar 2026, note 27(b)(i) Bus Contracting</t>
        </is>
      </c>
      <c r="D40" t="inlineStr">
        <is>
          <t>https://www.lta.gov.sg/content/dam/ltagov/who_we_are/statistics_and_publications/report/pdf/LTA_FY2025_FS.pdf</t>
        </is>
      </c>
      <c r="E40" t="inlineStr">
        <is>
          <t>- Fare revenue 1,032 965</t>
        </is>
      </c>
      <c r="F40" t="inlineStr">
        <is>
          <t>2026-10-13</t>
        </is>
      </c>
    </row>
    <row r="41">
      <c r="A41" t="inlineStr">
        <is>
          <t>LTA Bus Contracting restricted fund (note 27(b)(i))</t>
        </is>
      </c>
      <c r="B41" t="inlineStr">
        <is>
          <t>Land Transport Authority (LTA)</t>
        </is>
      </c>
      <c r="C41" t="inlineStr">
        <is>
          <t>LTA audited financial statements FYE 31 Mar 2025, note on Bus Contracting</t>
        </is>
      </c>
      <c r="D41" t="inlineStr">
        <is>
          <t>https://www.lta.gov.sg/content/dam/ltagov/who_we_are/statistics_and_publications/report/pdf/LTA-%20Land%20Transport%20Authority%20of%20Singapore%20and%20its%20subs%20Mar25%20PDF-A.pdf</t>
        </is>
      </c>
      <c r="E41" t="inlineStr">
        <is>
          <t>- Fare revenue 965 898</t>
        </is>
      </c>
      <c r="F41" t="inlineStr">
        <is>
          <t>2026-10-13</t>
        </is>
      </c>
    </row>
    <row r="42">
      <c r="A42" t="inlineStr">
        <is>
          <t>LTA Bus Contracting restricted fund (note 27(b)(i))</t>
        </is>
      </c>
      <c r="B42" t="inlineStr">
        <is>
          <t>Land Transport Authority (LTA)</t>
        </is>
      </c>
      <c r="C42" t="inlineStr">
        <is>
          <t>LTA audited financial statements FYE 31 Mar 2024, note on Bus Contracting</t>
        </is>
      </c>
      <c r="D42" t="inlineStr">
        <is>
          <t>https://www.lta.gov.sg/content/dam/ltagov/who_we_are/statistics_and_publications/report/pdf/Land%20Transport%20Authority%20of%20Singapore%20and%20its%20subsidiaries%20-%2031Mar2024_FA.pdf</t>
        </is>
      </c>
      <c r="E42" t="inlineStr">
        <is>
          <t>- Fare revenue 898 821</t>
        </is>
      </c>
      <c r="F42" t="inlineStr">
        <is>
          <t>2026-10-13</t>
        </is>
      </c>
    </row>
    <row r="43">
      <c r="A43" t="inlineStr">
        <is>
          <t>LTA Bus Contracting restricted fund (note 27(b)(i))</t>
        </is>
      </c>
      <c r="B43" t="inlineStr">
        <is>
          <t>Land Transport Authority (LTA)</t>
        </is>
      </c>
      <c r="C43" t="inlineStr">
        <is>
          <t>LTA audited financial statements FYE 31 Mar 2024 (comparative column 2023)</t>
        </is>
      </c>
      <c r="D43" t="inlineStr">
        <is>
          <t>https://www.lta.gov.sg/content/dam/ltagov/who_we_are/statistics_and_publications/report/pdf/Land%20Transport%20Authority%20of%20Singapore%20and%20its%20subsidiaries%20-%2031Mar2024_FA.pdf</t>
        </is>
      </c>
      <c r="E43" t="inlineStr">
        <is>
          <t>- Service fees and incentives 1,606 1,679</t>
        </is>
      </c>
      <c r="F43" t="inlineStr">
        <is>
          <t>2026-10-13</t>
        </is>
      </c>
    </row>
    <row r="44">
      <c r="A44" t="inlineStr">
        <is>
          <t>LTA Bus Contracting restricted fund (note 27(b)(i))</t>
        </is>
      </c>
      <c r="B44" t="inlineStr">
        <is>
          <t>Land Transport Authority (LTA)</t>
        </is>
      </c>
      <c r="C44" t="inlineStr">
        <is>
          <t>LTA financial statements FYE 31 Mar 2022, note on Bus Contracting</t>
        </is>
      </c>
      <c r="D44" t="inlineStr">
        <is>
          <t>https://www.lta.gov.sg/content/dam/ltagov/who_we_are/statistics_and_publications/report/pdf/LTA_FS_FYE_31Mar2022.pdf</t>
        </is>
      </c>
      <c r="E44" t="inlineStr">
        <is>
          <t>- Fare revenue 643 606</t>
        </is>
      </c>
      <c r="F44" t="inlineStr">
        <is>
          <t>2026-10-13</t>
        </is>
      </c>
    </row>
    <row r="45">
      <c r="A45" t="inlineStr">
        <is>
          <t>LTA Bus Contracting restricted fund (note 27(b)(i))</t>
        </is>
      </c>
      <c r="B45" t="inlineStr">
        <is>
          <t>Land Transport Authority (LTA)</t>
        </is>
      </c>
      <c r="C45" t="inlineStr">
        <is>
          <t>LTA financial statements FYE 31 Mar 2022 (comparative column 2021)</t>
        </is>
      </c>
      <c r="D45" t="inlineStr">
        <is>
          <t>https://www.lta.gov.sg/content/dam/ltagov/who_we_are/statistics_and_publications/report/pdf/LTA_FS_FYE_31Mar2022.pdf</t>
        </is>
      </c>
      <c r="E45" t="inlineStr">
        <is>
          <t>- Service fees and incentives 1,650 1,536</t>
        </is>
      </c>
      <c r="F45" t="inlineStr">
        <is>
          <t>2026-10-13</t>
        </is>
      </c>
    </row>
    <row r="46">
      <c r="A46" t="inlineStr">
        <is>
          <t>LTA Bus and Rail Contracting fund (bus + TEL/JRL), consolidated statement</t>
        </is>
      </c>
      <c r="B46" t="inlineStr">
        <is>
          <t>Land Transport Authority (LTA)</t>
        </is>
      </c>
      <c r="C46" t="inlineStr">
        <is>
          <t>LTA consolidated statement of comprehensive income FYE 31 Mar 2026</t>
        </is>
      </c>
      <c r="D46" t="inlineStr">
        <is>
          <t>https://www.lta.gov.sg/content/dam/ltagov/who_we_are/statistics_and_publications/report/pdf/LTA_FY2025_FS.pdf</t>
        </is>
      </c>
      <c r="E46" t="inlineStr">
        <is>
          <t>- Fare revenue * * - - 1,108 1,029 1,108 1,029</t>
        </is>
      </c>
      <c r="F46" t="inlineStr">
        <is>
          <t>2026-10-13</t>
        </is>
      </c>
    </row>
    <row r="47">
      <c r="A47" t="inlineStr">
        <is>
          <t>Government annual operating subsidies for public transport (bus + rail)</t>
        </is>
      </c>
      <c r="B47" t="inlineStr">
        <is>
          <t>Public Transport Council (PTC)</t>
        </is>
      </c>
      <c r="C47" t="inlineStr">
        <is>
          <t>Outcome of Fare Review Exercise (FRE) 2026</t>
        </is>
      </c>
      <c r="D47" t="inlineStr">
        <is>
          <t>https://www.ptc.gov.sg/media-centre/newsroom/fare-review-exercise-2026/</t>
        </is>
      </c>
      <c r="E47" t="inlineStr">
        <is>
          <t>This is on top of the more than $2 billion in annual operating subsidies for public transport</t>
        </is>
      </c>
      <c r="F47" t="inlineStr">
        <is>
          <t>2026-10-13</t>
        </is>
      </c>
    </row>
    <row r="48">
      <c r="A48" t="inlineStr">
        <is>
          <t>Subsidy per journey</t>
        </is>
      </c>
      <c r="B48" t="inlineStr">
        <is>
          <t>Ministry of Transport (MOT)</t>
        </is>
      </c>
      <c r="C48" t="inlineStr">
        <is>
          <t>More Than $2.2 Billion Government Support for Public Transport</t>
        </is>
      </c>
      <c r="D48" t="inlineStr">
        <is>
          <t>https://www.mot.gov.sg/news/details/more-than--2.2-billion-government-support-for-public-transport</t>
        </is>
      </c>
      <c r="E48" t="inlineStr">
        <is>
          <t>In total, this equates to more than $1 in subsidies for every journey taken on public transport.</t>
        </is>
      </c>
      <c r="F48" t="inlineStr">
        <is>
          <t>2026-10-13</t>
        </is>
      </c>
    </row>
    <row r="49">
      <c r="A49" t="inlineStr">
        <is>
          <t>Bus subsidy, pre-COVID</t>
        </is>
      </c>
      <c r="B49" t="inlineStr">
        <is>
          <t>Ministry of Transport (MOT)</t>
        </is>
      </c>
      <c r="C49" t="inlineStr">
        <is>
          <t>Written reply on unprofitable bus services as of July 2020</t>
        </is>
      </c>
      <c r="D49" t="inlineStr">
        <is>
          <t>https://www.mot.gov.sg/news-resources/newsroom/written-reply-by-minister-for-transport-ong-ye-kung-to-parliamentary-question-on-unprofitable-bus-services-as-of-july-2020/</t>
        </is>
      </c>
      <c r="E49" t="inlineStr">
        <is>
          <t>345 out of 356 public bus services generate fare revenues that cannot cover their operating costs and require government subsidies. This amounts to a total of about $1 billion per year.</t>
        </is>
      </c>
      <c r="F49" t="inlineStr">
        <is>
          <t>2026-10-13</t>
        </is>
      </c>
    </row>
    <row r="50">
      <c r="A50" t="inlineStr">
        <is>
          <t>Expected bus subsidies, five years from 2017</t>
        </is>
      </c>
      <c r="B50" t="inlineStr">
        <is>
          <t>Ministry of Transport (MOT)</t>
        </is>
      </c>
      <c r="C50" t="inlineStr">
        <is>
          <t>Written reply on operating subsidy for public bus operators in 2017 under BCM</t>
        </is>
      </c>
      <c r="D50" t="inlineStr">
        <is>
          <t>https://www.mot.gov.sg/news-resources/newsroom/written-reply-by-minister-for-transport-khaw-boon-wan-to-parliamentary-question-on-amount-of-operating-subsidy-for-public-bus-operators-in-2017-under-bus-contracting-model/</t>
        </is>
      </c>
      <c r="E50" t="inlineStr">
        <is>
          <t>we expect to incur $3.5 to $4 billion in subsidies for bus services over the next five years</t>
        </is>
      </c>
      <c r="F50" t="inlineStr">
        <is>
          <t>2026-10-13</t>
        </is>
      </c>
    </row>
    <row r="51">
      <c r="A51" t="inlineStr">
        <is>
          <t>Tender price reduction</t>
        </is>
      </c>
      <c r="B51" t="inlineStr">
        <is>
          <t>Ministry of Transport (MOT)</t>
        </is>
      </c>
      <c r="C51" t="inlineStr">
        <is>
          <t>Written reply on likely changes to Government's bus contracting model</t>
        </is>
      </c>
      <c r="D51" t="inlineStr">
        <is>
          <t>https://www.mot.gov.sg/news-resources/newsroom/written-reply-by-minister-for-transport-s-iswaran-to-parliamentary-question-on-likely-changes-to-government-s-bus-contracting-model/</t>
        </is>
      </c>
      <c r="E51" t="inlineStr">
        <is>
          <t>average tender prices falling by 15% after five rounds of competitive tendering by LTA</t>
        </is>
      </c>
      <c r="F51" t="inlineStr">
        <is>
          <t>2026-10-13</t>
        </is>
      </c>
    </row>
    <row r="52">
      <c r="A52" t="inlineStr">
        <is>
          <t>Service fees drop since tendering</t>
        </is>
      </c>
      <c r="B52" t="inlineStr">
        <is>
          <t>Ministry of Transport (MOT)</t>
        </is>
      </c>
      <c r="C52" t="inlineStr">
        <is>
          <t>Response to the Adjournment Motion "Reaching 75%: Reforming Singapore's Public Transport System"</t>
        </is>
      </c>
      <c r="D52" t="inlineStr">
        <is>
          <t>https://www.mot.gov.sg/news-resources/newsroom/response-to-the-adjournment-motion--reaching-75---reforming-singapore-s-public-transport-system--by-senior-minister-of-state-for-transport-and-national-development-ms-sun-xueling/</t>
        </is>
      </c>
      <c r="E52" t="inlineStr">
        <is>
          <t>Since we transited to tendering out bus packages, service fees paid by the government to the operators have dropped by 15%.</t>
        </is>
      </c>
      <c r="F52" t="inlineStr">
        <is>
          <t>2026-10-13</t>
        </is>
      </c>
    </row>
    <row r="53">
      <c r="A53" t="inlineStr">
        <is>
          <t>Public transport operating costs spend</t>
        </is>
      </c>
      <c r="B53" t="inlineStr">
        <is>
          <t>Ministry of Transport (MOT)</t>
        </is>
      </c>
      <c r="C53" t="inlineStr">
        <is>
          <t>Response to the Adjournment Motion (MOT)</t>
        </is>
      </c>
      <c r="D53" t="inlineStr">
        <is>
          <t>https://www.mot.gov.sg/news-resources/newsroom/response-to-the-adjournment-motion--reaching-75---reforming-singapore-s-public-transport-system--by-senior-minister-of-state-for-transport-and-national-development-ms-sun-xueling/</t>
        </is>
      </c>
      <c r="E53" t="inlineStr">
        <is>
          <t>about $2 billion a year on public transport operating costs, on top of much larger sums for infrastructure</t>
        </is>
      </c>
      <c r="F53" t="inlineStr">
        <is>
          <t>2026-10-13</t>
        </is>
      </c>
    </row>
    <row r="54">
      <c r="A54" t="inlineStr">
        <is>
          <t>SBS Transit group revenue FY2025 (bus + rail + other)</t>
        </is>
      </c>
      <c r="B54" t="inlineStr">
        <is>
          <t>SBS Transit Ltd (operator)</t>
        </is>
      </c>
      <c r="C54" t="inlineStr">
        <is>
          <t>SBS Transit Annual Report 2025, note 18 Revenue</t>
        </is>
      </c>
      <c r="D54" t="inlineStr">
        <is>
          <t>https://links.sgx.com/1.0.0/corporate-announcements/G9YQELHXQ3N6BWBP/880364_SBS%20Transit%20-%20Annual%20Report%202025.pdf</t>
        </is>
      </c>
      <c r="E54" t="inlineStr">
        <is>
          <t>Transport services 1,377,889 1,410,192</t>
        </is>
      </c>
      <c r="F54" t="inlineStr">
        <is>
          <t>2026-10-13</t>
        </is>
      </c>
    </row>
    <row r="55">
      <c r="A55" t="inlineStr">
        <is>
          <t>Average daily public bus ridership</t>
        </is>
      </c>
      <c r="B55" t="inlineStr">
        <is>
          <t>Land Transport Authority (LTA)</t>
        </is>
      </c>
      <c r="C55" t="inlineStr">
        <is>
          <t>Public Transport Ridership - Average Daily Ridership (2015-2025)</t>
        </is>
      </c>
      <c r="D55" t="inlineStr">
        <is>
          <t>https://www.lta.gov.sg/content/dam/ltagov/who_we_are/statistics_and_publications/statistics/pdf/PT_Ridership_Yearly_2015-2025.pdf</t>
        </is>
      </c>
      <c r="E55" t="inlineStr">
        <is>
          <t>2025 3,841 3,490 209</t>
        </is>
      </c>
      <c r="F55" t="inlineStr">
        <is>
          <t>2026-10-13</t>
        </is>
      </c>
    </row>
    <row r="56">
      <c r="A56" t="inlineStr">
        <is>
          <t>data.gov.sg: Public Transport Operation And Ridership, Annual (SingStat M651351, source LTA)</t>
        </is>
      </c>
      <c r="B56" t="inlineStr">
        <is>
          <t>Singapore Department of Statistics (source: LTA)</t>
        </is>
      </c>
      <c r="C56" t="inlineStr">
        <is>
          <t>Public Transport Operation And Ridership, Annual (CSV)</t>
        </is>
      </c>
      <c r="D56" t="inlineStr">
        <is>
          <t>https://data.gov.sg/datasets/d_ba615ec4cc5d9f5b7800ad82057f36f1/view</t>
        </is>
      </c>
      <c r="E56" t="inlineStr">
        <is>
          <t>Average Daily Ridership - Public Bus,3841,3837,3747,3461,3008,2878,4099,4037,3952,3939,3891</t>
        </is>
      </c>
      <c r="F56" t="inlineStr">
        <is>
          <t>2026-10-13</t>
        </is>
      </c>
    </row>
    <row r="57">
      <c r="A57" t="inlineStr">
        <is>
          <t>data.gov.sg: Public Transport Utilisation - Average Public Transport Ridership (LTA)</t>
        </is>
      </c>
      <c r="B57" t="inlineStr">
        <is>
          <t>Land Transport Authority (LTA)</t>
        </is>
      </c>
      <c r="C57" t="inlineStr">
        <is>
          <t>Public Transport Utilisation - Average Public Transport Ridership</t>
        </is>
      </c>
      <c r="D57" t="inlineStr">
        <is>
          <t>https://data.gov.sg/datasets/d_75248cf2fbf340de6a746dc91ec9223c/view</t>
        </is>
      </c>
      <c r="E57" t="inlineStr">
        <is>
          <t>2024,Bus,3837000</t>
        </is>
      </c>
      <c r="F57" t="inlineStr">
        <is>
          <t>2026-10-13</t>
        </is>
      </c>
    </row>
    <row r="58">
      <c r="A58" t="inlineStr">
        <is>
          <t>Omnibuses on register (public scheduled bus category, end of year)</t>
        </is>
      </c>
      <c r="B58" t="inlineStr">
        <is>
          <t>Land Transport Authority (LTA)</t>
        </is>
      </c>
      <c r="C58" t="inlineStr">
        <is>
          <t>Annual Vehicle Statistics - Motor vehicle population by type (MVP01-1)</t>
        </is>
      </c>
      <c r="D58" t="inlineStr">
        <is>
          <t>https://www.lta.gov.sg/content/dam/ltagov/who_we_are/statistics_and_publications/statistics/pdf/MVP01-1_MVP_by_type.pdf</t>
        </is>
      </c>
      <c r="E58" t="inlineStr">
        <is>
          <t>i) Omnibuses 5,120 5,470 5,665 5,776 5,863 5,906 6,070 5,847 5,802 5,841 6,067</t>
        </is>
      </c>
      <c r="F58" t="inlineStr">
        <is>
          <t>2026-10-13</t>
        </is>
      </c>
    </row>
    <row r="59">
      <c r="A59" t="inlineStr">
        <is>
          <t>Average daily bus distance travelled (historical)</t>
        </is>
      </c>
      <c r="B59" t="inlineStr">
        <is>
          <t>Land Transport Authority (LTA)</t>
        </is>
      </c>
      <c r="C59" t="inlineStr">
        <is>
          <t>Public Transport Capacity - Average Daily Distance Travelled</t>
        </is>
      </c>
      <c r="D59" t="inlineStr">
        <is>
          <t>https://data.gov.sg/datasets/d_120bba76c28dd4706e0cf85693827e64/view</t>
        </is>
      </c>
      <c r="E59" t="inlineStr">
        <is>
          <t>2014,77200,901700</t>
        </is>
      </c>
      <c r="F59" t="inlineStr">
        <is>
          <t>2026-10-13</t>
        </is>
      </c>
    </row>
    <row r="60">
      <c r="A60" t="inlineStr">
        <is>
          <t>Average bus fleet &amp; routes in operation (historical)</t>
        </is>
      </c>
      <c r="B60" t="inlineStr">
        <is>
          <t>Land Transport Authority (LTA)</t>
        </is>
      </c>
      <c r="C60" t="inlineStr">
        <is>
          <t>Public Transport Capacity - Bus Routes in Operation</t>
        </is>
      </c>
      <c r="D60" t="inlineStr">
        <is>
          <t>https://data.gov.sg/datasets/d_4b650f7d8233247fc1a2d6bb974df260/view</t>
        </is>
      </c>
      <c r="E60" t="inlineStr">
        <is>
          <t>2013,3777,357</t>
        </is>
      </c>
      <c r="F60" t="inlineStr">
        <is>
          <t>2026-10-13</t>
        </is>
      </c>
    </row>
    <row r="61">
      <c r="A61" t="inlineStr">
        <is>
          <t>Share of bus services meeting performance baselines (BSRF)</t>
        </is>
      </c>
      <c r="B61" t="inlineStr">
        <is>
          <t>Ministry of Transport (MOT)</t>
        </is>
      </c>
      <c r="C61" t="inlineStr">
        <is>
          <t>Breakdown of Bus Operator KPIs, Incentive Payments and Penalties Since Introduction of BCM (written reply 6 Oct 2026)</t>
        </is>
      </c>
      <c r="D61" t="inlineStr">
        <is>
          <t>https://www.mot.gov.sg/news-resources/newsroom/breakdown-of-bus-operator-key-performance-indicators--incentive-payments-and-penalties-since-introduction-of-bus-contracting-model/</t>
        </is>
      </c>
      <c r="E61" t="inlineStr">
        <is>
          <t>From 2017 to 2025, most of the bus services met the required service standards, as shown in Table 1.</t>
        </is>
      </c>
      <c r="F61" t="inlineStr">
        <is>
          <t>2026-10-13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2026-10-13T14:33:15Z</dcterms:created>
  <dcterms:modified xmlns:dcterms="http://purl.org/dc/terms/" xmlns:xsi="http://www.w3.org/2001/XMLSchema-instance" xsi:type="dcterms:W3CDTF">2026-10-13T14:33:16Z</dcterms:modified>
</cp:coreProperties>
</file>